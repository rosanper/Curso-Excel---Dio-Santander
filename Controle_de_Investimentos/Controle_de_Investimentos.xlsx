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_sa\Documents\Curso Dio + Santander\Controle_de_Investimentos\"/>
    </mc:Choice>
  </mc:AlternateContent>
  <xr:revisionPtr revIDLastSave="0" documentId="13_ncr:1_{44EDEC51-77A3-4765-9862-624CFB75AA56}" xr6:coauthVersionLast="47" xr6:coauthVersionMax="47" xr10:uidLastSave="{00000000-0000-0000-0000-000000000000}"/>
  <bookViews>
    <workbookView xWindow="-108" yWindow="-108" windowWidth="23256" windowHeight="12456" xr2:uid="{63F0B2BA-E282-4624-89C1-CD6D960F3029}"/>
  </bookViews>
  <sheets>
    <sheet name="Controle de investimento" sheetId="1" r:id="rId1"/>
    <sheet name="Tabela de investimento" sheetId="3" r:id="rId2"/>
    <sheet name="Fundos Imobiliarios" sheetId="2" r:id="rId3"/>
  </sheets>
  <definedNames>
    <definedName name="aporte">'Controle de investimento'!$C$7</definedName>
    <definedName name="data_final">'Controle de investimento'!$F$9</definedName>
    <definedName name="data_inicial">'Controle de investimento'!$C$9</definedName>
    <definedName name="eixo_X">'Tabela de investimento'!$A$2:INDEX('Tabela de investimento'!$A:$A, periodo+1)</definedName>
    <definedName name="eixo_X_data">'Tabela de investimento'!$E$2:INDEX('Tabela de investimento'!$F:$F, periodo+1)</definedName>
    <definedName name="eixo_Y">'Tabela de investimento'!$E$2:INDEX('Tabela de investimento'!$E:$E, periodo+1)</definedName>
    <definedName name="patrimonio_acumulado">'Controle de investimento'!$F$8</definedName>
    <definedName name="periodo">'Controle de investimento'!$C$8</definedName>
    <definedName name="taxa">'Controle de investimento'!$F$6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C18" i="1" s="1"/>
  <c r="F9" i="1"/>
  <c r="A2" i="3"/>
  <c r="C2" i="3" s="1"/>
  <c r="A3" i="3"/>
  <c r="F3" i="3" s="1"/>
  <c r="A4" i="3"/>
  <c r="B4" i="3" s="1"/>
  <c r="A5" i="3"/>
  <c r="B5" i="3" s="1"/>
  <c r="A6" i="3"/>
  <c r="B6" i="3" s="1"/>
  <c r="A7" i="3"/>
  <c r="F7" i="3" s="1"/>
  <c r="A8" i="3"/>
  <c r="B8" i="3" s="1"/>
  <c r="A9" i="3"/>
  <c r="B9" i="3" s="1"/>
  <c r="A10" i="3"/>
  <c r="B10" i="3" s="1"/>
  <c r="A11" i="3"/>
  <c r="B11" i="3" s="1"/>
  <c r="A12" i="3"/>
  <c r="B12" i="3" s="1"/>
  <c r="A13" i="3"/>
  <c r="B13" i="3" s="1"/>
  <c r="A14" i="3"/>
  <c r="B14" i="3" s="1"/>
  <c r="A15" i="3"/>
  <c r="B15" i="3" s="1"/>
  <c r="A16" i="3"/>
  <c r="B16" i="3" s="1"/>
  <c r="A17" i="3"/>
  <c r="B17" i="3" s="1"/>
  <c r="A18" i="3"/>
  <c r="B18" i="3" s="1"/>
  <c r="A19" i="3"/>
  <c r="B19" i="3" s="1"/>
  <c r="A20" i="3"/>
  <c r="B20" i="3" s="1"/>
  <c r="A21" i="3"/>
  <c r="B21" i="3" s="1"/>
  <c r="A22" i="3"/>
  <c r="B22" i="3" s="1"/>
  <c r="A23" i="3"/>
  <c r="F23" i="3" s="1"/>
  <c r="A24" i="3"/>
  <c r="B24" i="3" s="1"/>
  <c r="A25" i="3"/>
  <c r="B25" i="3" s="1"/>
  <c r="A26" i="3"/>
  <c r="B26" i="3" s="1"/>
  <c r="A27" i="3"/>
  <c r="B27" i="3" s="1"/>
  <c r="A28" i="3"/>
  <c r="B28" i="3" s="1"/>
  <c r="A29" i="3"/>
  <c r="B29" i="3" s="1"/>
  <c r="A30" i="3"/>
  <c r="B30" i="3" s="1"/>
  <c r="A31" i="3"/>
  <c r="B31" i="3" s="1"/>
  <c r="A32" i="3"/>
  <c r="B32" i="3" s="1"/>
  <c r="A33" i="3"/>
  <c r="B33" i="3" s="1"/>
  <c r="A34" i="3"/>
  <c r="B34" i="3" s="1"/>
  <c r="A35" i="3"/>
  <c r="B35" i="3" s="1"/>
  <c r="A36" i="3"/>
  <c r="B36" i="3" s="1"/>
  <c r="A37" i="3"/>
  <c r="B37" i="3" s="1"/>
  <c r="A38" i="3"/>
  <c r="B38" i="3" s="1"/>
  <c r="A39" i="3"/>
  <c r="B39" i="3" s="1"/>
  <c r="A40" i="3"/>
  <c r="B40" i="3" s="1"/>
  <c r="A41" i="3"/>
  <c r="B41" i="3" s="1"/>
  <c r="A42" i="3"/>
  <c r="B42" i="3" s="1"/>
  <c r="A43" i="3"/>
  <c r="F43" i="3" s="1"/>
  <c r="A44" i="3"/>
  <c r="B44" i="3" s="1"/>
  <c r="A45" i="3"/>
  <c r="B45" i="3" s="1"/>
  <c r="A46" i="3"/>
  <c r="B46" i="3" s="1"/>
  <c r="A47" i="3"/>
  <c r="B47" i="3" s="1"/>
  <c r="A48" i="3"/>
  <c r="B48" i="3" s="1"/>
  <c r="A49" i="3"/>
  <c r="B49" i="3" s="1"/>
  <c r="A50" i="3"/>
  <c r="B50" i="3" s="1"/>
  <c r="A51" i="3"/>
  <c r="B51" i="3" s="1"/>
  <c r="A52" i="3"/>
  <c r="B52" i="3" s="1"/>
  <c r="A53" i="3"/>
  <c r="B53" i="3" s="1"/>
  <c r="A54" i="3"/>
  <c r="B54" i="3" s="1"/>
  <c r="A55" i="3"/>
  <c r="B55" i="3" s="1"/>
  <c r="A56" i="3"/>
  <c r="B56" i="3" s="1"/>
  <c r="A57" i="3"/>
  <c r="B57" i="3" s="1"/>
  <c r="A58" i="3"/>
  <c r="B58" i="3" s="1"/>
  <c r="A59" i="3"/>
  <c r="B59" i="3" s="1"/>
  <c r="A60" i="3"/>
  <c r="B60" i="3" s="1"/>
  <c r="A61" i="3"/>
  <c r="B61" i="3" s="1"/>
  <c r="A62" i="3"/>
  <c r="B62" i="3" s="1"/>
  <c r="A63" i="3"/>
  <c r="B63" i="3" s="1"/>
  <c r="A64" i="3"/>
  <c r="F64" i="3" s="1"/>
  <c r="A65" i="3"/>
  <c r="F65" i="3" s="1"/>
  <c r="A66" i="3"/>
  <c r="F66" i="3" s="1"/>
  <c r="A67" i="3"/>
  <c r="F67" i="3" s="1"/>
  <c r="A68" i="3"/>
  <c r="F68" i="3" s="1"/>
  <c r="A69" i="3"/>
  <c r="F69" i="3" s="1"/>
  <c r="A70" i="3"/>
  <c r="B70" i="3" s="1"/>
  <c r="A71" i="3"/>
  <c r="B71" i="3" s="1"/>
  <c r="A72" i="3"/>
  <c r="B72" i="3" s="1"/>
  <c r="A73" i="3"/>
  <c r="B73" i="3" s="1"/>
  <c r="A74" i="3"/>
  <c r="B74" i="3" s="1"/>
  <c r="A75" i="3"/>
  <c r="F75" i="3" s="1"/>
  <c r="A76" i="3"/>
  <c r="B76" i="3" s="1"/>
  <c r="A77" i="3"/>
  <c r="B77" i="3" s="1"/>
  <c r="A78" i="3"/>
  <c r="F78" i="3" s="1"/>
  <c r="A79" i="3"/>
  <c r="F79" i="3" s="1"/>
  <c r="A80" i="3"/>
  <c r="F80" i="3" s="1"/>
  <c r="A81" i="3"/>
  <c r="F81" i="3" s="1"/>
  <c r="A82" i="3"/>
  <c r="B82" i="3" s="1"/>
  <c r="A83" i="3"/>
  <c r="F83" i="3" s="1"/>
  <c r="A84" i="3"/>
  <c r="F84" i="3" s="1"/>
  <c r="A85" i="3"/>
  <c r="F85" i="3" s="1"/>
  <c r="A86" i="3"/>
  <c r="F86" i="3" s="1"/>
  <c r="A87" i="3"/>
  <c r="F87" i="3" s="1"/>
  <c r="A88" i="3"/>
  <c r="F88" i="3" s="1"/>
  <c r="A89" i="3"/>
  <c r="F89" i="3" s="1"/>
  <c r="A90" i="3"/>
  <c r="F90" i="3" s="1"/>
  <c r="A91" i="3"/>
  <c r="F91" i="3" s="1"/>
  <c r="A92" i="3"/>
  <c r="D92" i="3" s="1"/>
  <c r="A93" i="3"/>
  <c r="D93" i="3" s="1"/>
  <c r="A94" i="3"/>
  <c r="C94" i="3" s="1"/>
  <c r="A95" i="3"/>
  <c r="C95" i="3" s="1"/>
  <c r="A96" i="3"/>
  <c r="C96" i="3" s="1"/>
  <c r="A97" i="3"/>
  <c r="B97" i="3" s="1"/>
  <c r="A98" i="3"/>
  <c r="B98" i="3" s="1"/>
  <c r="A99" i="3"/>
  <c r="B99" i="3" s="1"/>
  <c r="A100" i="3"/>
  <c r="E100" i="3" s="1"/>
  <c r="A101" i="3"/>
  <c r="E101" i="3" s="1"/>
  <c r="A102" i="3"/>
  <c r="D102" i="3" s="1"/>
  <c r="A103" i="3"/>
  <c r="B103" i="3" s="1"/>
  <c r="A104" i="3"/>
  <c r="D104" i="3" s="1"/>
  <c r="A105" i="3"/>
  <c r="D105" i="3" s="1"/>
  <c r="A106" i="3"/>
  <c r="F106" i="3" s="1"/>
  <c r="A107" i="3"/>
  <c r="C107" i="3" s="1"/>
  <c r="A108" i="3"/>
  <c r="B108" i="3" s="1"/>
  <c r="A109" i="3"/>
  <c r="E109" i="3" s="1"/>
  <c r="A110" i="3"/>
  <c r="C110" i="3" s="1"/>
  <c r="A111" i="3"/>
  <c r="B111" i="3" s="1"/>
  <c r="A112" i="3"/>
  <c r="D112" i="3" s="1"/>
  <c r="A113" i="3"/>
  <c r="D113" i="3" s="1"/>
  <c r="A114" i="3"/>
  <c r="C114" i="3" s="1"/>
  <c r="A115" i="3"/>
  <c r="C115" i="3" s="1"/>
  <c r="A116" i="3"/>
  <c r="C116" i="3" s="1"/>
  <c r="A117" i="3"/>
  <c r="D117" i="3" s="1"/>
  <c r="A118" i="3"/>
  <c r="B118" i="3" s="1"/>
  <c r="A119" i="3"/>
  <c r="E119" i="3" s="1"/>
  <c r="A120" i="3"/>
  <c r="D120" i="3" s="1"/>
  <c r="A121" i="3"/>
  <c r="D121" i="3" s="1"/>
  <c r="A122" i="3"/>
  <c r="D122" i="3" s="1"/>
  <c r="A123" i="3"/>
  <c r="B123" i="3" s="1"/>
  <c r="A124" i="3"/>
  <c r="D124" i="3" s="1"/>
  <c r="A125" i="3"/>
  <c r="D125" i="3" s="1"/>
  <c r="A126" i="3"/>
  <c r="F126" i="3" s="1"/>
  <c r="A127" i="3"/>
  <c r="C127" i="3" s="1"/>
  <c r="A128" i="3"/>
  <c r="E128" i="3" s="1"/>
  <c r="A129" i="3"/>
  <c r="E129" i="3" s="1"/>
  <c r="A130" i="3"/>
  <c r="C130" i="3" s="1"/>
  <c r="A131" i="3"/>
  <c r="D131" i="3" s="1"/>
  <c r="A132" i="3"/>
  <c r="D132" i="3" s="1"/>
  <c r="A133" i="3"/>
  <c r="D133" i="3" s="1"/>
  <c r="A134" i="3"/>
  <c r="C134" i="3" s="1"/>
  <c r="A135" i="3"/>
  <c r="C135" i="3" s="1"/>
  <c r="A136" i="3"/>
  <c r="B136" i="3" s="1"/>
  <c r="A137" i="3"/>
  <c r="B137" i="3" s="1"/>
  <c r="A138" i="3"/>
  <c r="C138" i="3" s="1"/>
  <c r="A139" i="3"/>
  <c r="C139" i="3" s="1"/>
  <c r="A140" i="3"/>
  <c r="D140" i="3" s="1"/>
  <c r="A141" i="3"/>
  <c r="B141" i="3" s="1"/>
  <c r="A142" i="3"/>
  <c r="D142" i="3" s="1"/>
  <c r="A143" i="3"/>
  <c r="F143" i="3" s="1"/>
  <c r="A144" i="3"/>
  <c r="C144" i="3" s="1"/>
  <c r="A145" i="3"/>
  <c r="C145" i="3" s="1"/>
  <c r="A146" i="3"/>
  <c r="C146" i="3" s="1"/>
  <c r="A147" i="3"/>
  <c r="B147" i="3" s="1"/>
  <c r="A148" i="3"/>
  <c r="E148" i="3" s="1"/>
  <c r="A149" i="3"/>
  <c r="E149" i="3" s="1"/>
  <c r="A150" i="3"/>
  <c r="C150" i="3" s="1"/>
  <c r="A151" i="3"/>
  <c r="B151" i="3" s="1"/>
  <c r="A152" i="3"/>
  <c r="D152" i="3" s="1"/>
  <c r="A153" i="3"/>
  <c r="D153" i="3" s="1"/>
  <c r="A154" i="3"/>
  <c r="C154" i="3" s="1"/>
  <c r="A155" i="3"/>
  <c r="C155" i="3" s="1"/>
  <c r="A156" i="3"/>
  <c r="C156" i="3" s="1"/>
  <c r="A157" i="3"/>
  <c r="C157" i="3" s="1"/>
  <c r="A158" i="3"/>
  <c r="E158" i="3" s="1"/>
  <c r="A159" i="3"/>
  <c r="E159" i="3" s="1"/>
  <c r="A160" i="3"/>
  <c r="C160" i="3" s="1"/>
  <c r="A161" i="3"/>
  <c r="C161" i="3" s="1"/>
  <c r="A162" i="3"/>
  <c r="C162" i="3" s="1"/>
  <c r="A163" i="3"/>
  <c r="B163" i="3" s="1"/>
  <c r="A164" i="3"/>
  <c r="C164" i="3" s="1"/>
  <c r="A165" i="3"/>
  <c r="C165" i="3" s="1"/>
  <c r="A166" i="3"/>
  <c r="C166" i="3" s="1"/>
  <c r="A167" i="3"/>
  <c r="C167" i="3" s="1"/>
  <c r="A168" i="3"/>
  <c r="E168" i="3" s="1"/>
  <c r="A169" i="3"/>
  <c r="E169" i="3" s="1"/>
  <c r="A170" i="3"/>
  <c r="C170" i="3" s="1"/>
  <c r="A171" i="3"/>
  <c r="B171" i="3" s="1"/>
  <c r="A172" i="3"/>
  <c r="D172" i="3" s="1"/>
  <c r="A173" i="3"/>
  <c r="D173" i="3" s="1"/>
  <c r="A174" i="3"/>
  <c r="C174" i="3" s="1"/>
  <c r="A175" i="3"/>
  <c r="C175" i="3" s="1"/>
  <c r="A176" i="3"/>
  <c r="D176" i="3" s="1"/>
  <c r="A177" i="3"/>
  <c r="C177" i="3" s="1"/>
  <c r="A178" i="3"/>
  <c r="C178" i="3" s="1"/>
  <c r="A179" i="3"/>
  <c r="B179" i="3" s="1"/>
  <c r="A180" i="3"/>
  <c r="C180" i="3" s="1"/>
  <c r="A181" i="3"/>
  <c r="E181" i="3" s="1"/>
  <c r="A182" i="3"/>
  <c r="F182" i="3" s="1"/>
  <c r="A183" i="3"/>
  <c r="B183" i="3" s="1"/>
  <c r="A184" i="3"/>
  <c r="D184" i="3" s="1"/>
  <c r="A185" i="3"/>
  <c r="D185" i="3" s="1"/>
  <c r="A186" i="3"/>
  <c r="F186" i="3" s="1"/>
  <c r="A187" i="3"/>
  <c r="B187" i="3" s="1"/>
  <c r="A188" i="3"/>
  <c r="B188" i="3" s="1"/>
  <c r="A189" i="3"/>
  <c r="E189" i="3" s="1"/>
  <c r="A190" i="3"/>
  <c r="C190" i="3" s="1"/>
  <c r="A191" i="3"/>
  <c r="D191" i="3" s="1"/>
  <c r="A192" i="3"/>
  <c r="D192" i="3" s="1"/>
  <c r="A193" i="3"/>
  <c r="D193" i="3" s="1"/>
  <c r="A194" i="3"/>
  <c r="C194" i="3" s="1"/>
  <c r="A195" i="3"/>
  <c r="C195" i="3" s="1"/>
  <c r="A196" i="3"/>
  <c r="E196" i="3" s="1"/>
  <c r="A197" i="3"/>
  <c r="E197" i="3" s="1"/>
  <c r="A198" i="3"/>
  <c r="E198" i="3" s="1"/>
  <c r="A199" i="3"/>
  <c r="B199" i="3" s="1"/>
  <c r="A200" i="3"/>
  <c r="D200" i="3" s="1"/>
  <c r="A201" i="3"/>
  <c r="D201" i="3" s="1"/>
  <c r="A202" i="3"/>
  <c r="F202" i="3" s="1"/>
  <c r="A203" i="3"/>
  <c r="B203" i="3" s="1"/>
  <c r="A204" i="3"/>
  <c r="C204" i="3" s="1"/>
  <c r="A205" i="3"/>
  <c r="C205" i="3" s="1"/>
  <c r="A206" i="3"/>
  <c r="C206" i="3" s="1"/>
  <c r="A207" i="3"/>
  <c r="C207" i="3" s="1"/>
  <c r="A208" i="3"/>
  <c r="E208" i="3" s="1"/>
  <c r="A209" i="3"/>
  <c r="E209" i="3" s="1"/>
  <c r="A210" i="3"/>
  <c r="C210" i="3" s="1"/>
  <c r="A211" i="3"/>
  <c r="C211" i="3" s="1"/>
  <c r="A212" i="3"/>
  <c r="D212" i="3" s="1"/>
  <c r="A213" i="3"/>
  <c r="D213" i="3" s="1"/>
  <c r="A214" i="3"/>
  <c r="C214" i="3" s="1"/>
  <c r="A215" i="3"/>
  <c r="C215" i="3" s="1"/>
  <c r="A216" i="3"/>
  <c r="B216" i="3" s="1"/>
  <c r="A217" i="3"/>
  <c r="D217" i="3" s="1"/>
  <c r="A218" i="3"/>
  <c r="D218" i="3" s="1"/>
  <c r="A219" i="3"/>
  <c r="C219" i="3" s="1"/>
  <c r="A220" i="3"/>
  <c r="C220" i="3" s="1"/>
  <c r="A221" i="3"/>
  <c r="D221" i="3" s="1"/>
  <c r="A222" i="3"/>
  <c r="E222" i="3" s="1"/>
  <c r="A223" i="3"/>
  <c r="F223" i="3" s="1"/>
  <c r="A224" i="3"/>
  <c r="C224" i="3" s="1"/>
  <c r="A225" i="3"/>
  <c r="D225" i="3" s="1"/>
  <c r="A226" i="3"/>
  <c r="C226" i="3" s="1"/>
  <c r="A227" i="3"/>
  <c r="C227" i="3" s="1"/>
  <c r="A228" i="3"/>
  <c r="E228" i="3" s="1"/>
  <c r="A229" i="3"/>
  <c r="E229" i="3" s="1"/>
  <c r="A230" i="3"/>
  <c r="C230" i="3" s="1"/>
  <c r="A231" i="3"/>
  <c r="D231" i="3" s="1"/>
  <c r="A232" i="3"/>
  <c r="D232" i="3" s="1"/>
  <c r="A233" i="3"/>
  <c r="D233" i="3" s="1"/>
  <c r="A234" i="3"/>
  <c r="C234" i="3" s="1"/>
  <c r="A235" i="3"/>
  <c r="C235" i="3" s="1"/>
  <c r="A236" i="3"/>
  <c r="B236" i="3" s="1"/>
  <c r="A237" i="3"/>
  <c r="C237" i="3" s="1"/>
  <c r="A238" i="3"/>
  <c r="E238" i="3" s="1"/>
  <c r="A239" i="3"/>
  <c r="E239" i="3" s="1"/>
  <c r="C15" i="1" l="1"/>
  <c r="C19" i="1"/>
  <c r="C20" i="1"/>
  <c r="C17" i="1"/>
  <c r="E17" i="1" s="1"/>
  <c r="C16" i="1"/>
  <c r="E16" i="1" s="1"/>
  <c r="F193" i="3"/>
  <c r="F169" i="3"/>
  <c r="F146" i="3"/>
  <c r="F119" i="3"/>
  <c r="F118" i="3"/>
  <c r="F191" i="3"/>
  <c r="F190" i="3"/>
  <c r="F170" i="3"/>
  <c r="F116" i="3"/>
  <c r="B7" i="3"/>
  <c r="F239" i="3"/>
  <c r="F115" i="3"/>
  <c r="F95" i="3"/>
  <c r="C126" i="3"/>
  <c r="F216" i="3"/>
  <c r="F46" i="3"/>
  <c r="F93" i="3"/>
  <c r="F70" i="3"/>
  <c r="F215" i="3"/>
  <c r="B223" i="3"/>
  <c r="F219" i="3"/>
  <c r="F195" i="3"/>
  <c r="F40" i="3"/>
  <c r="F39" i="3"/>
  <c r="F167" i="3"/>
  <c r="F19" i="3"/>
  <c r="F166" i="3"/>
  <c r="F18" i="3"/>
  <c r="F218" i="3"/>
  <c r="F16" i="3"/>
  <c r="F140" i="3"/>
  <c r="F15" i="3"/>
  <c r="F139" i="3"/>
  <c r="F144" i="3"/>
  <c r="B83" i="3"/>
  <c r="F228" i="3"/>
  <c r="F201" i="3"/>
  <c r="F177" i="3"/>
  <c r="F152" i="3"/>
  <c r="F128" i="3"/>
  <c r="F101" i="3"/>
  <c r="F77" i="3"/>
  <c r="F52" i="3"/>
  <c r="F28" i="3"/>
  <c r="F227" i="3"/>
  <c r="F200" i="3"/>
  <c r="F176" i="3"/>
  <c r="F151" i="3"/>
  <c r="F127" i="3"/>
  <c r="F100" i="3"/>
  <c r="F76" i="3"/>
  <c r="F51" i="3"/>
  <c r="F27" i="3"/>
  <c r="F226" i="3"/>
  <c r="F199" i="3"/>
  <c r="F175" i="3"/>
  <c r="F150" i="3"/>
  <c r="F99" i="3"/>
  <c r="F50" i="3"/>
  <c r="F26" i="3"/>
  <c r="B143" i="3"/>
  <c r="F44" i="3"/>
  <c r="F224" i="3"/>
  <c r="F198" i="3"/>
  <c r="F173" i="3"/>
  <c r="F149" i="3"/>
  <c r="F124" i="3"/>
  <c r="F98" i="3"/>
  <c r="F73" i="3"/>
  <c r="F49" i="3"/>
  <c r="F24" i="3"/>
  <c r="B23" i="3"/>
  <c r="F221" i="3"/>
  <c r="F197" i="3"/>
  <c r="F172" i="3"/>
  <c r="F148" i="3"/>
  <c r="F121" i="3"/>
  <c r="F97" i="3"/>
  <c r="F72" i="3"/>
  <c r="F48" i="3"/>
  <c r="F21" i="3"/>
  <c r="B43" i="3"/>
  <c r="B3" i="3"/>
  <c r="F220" i="3"/>
  <c r="F196" i="3"/>
  <c r="F171" i="3"/>
  <c r="F147" i="3"/>
  <c r="F120" i="3"/>
  <c r="F96" i="3"/>
  <c r="F71" i="3"/>
  <c r="F47" i="3"/>
  <c r="F20" i="3"/>
  <c r="F217" i="3"/>
  <c r="F192" i="3"/>
  <c r="F168" i="3"/>
  <c r="F141" i="3"/>
  <c r="F117" i="3"/>
  <c r="F92" i="3"/>
  <c r="F41" i="3"/>
  <c r="F17" i="3"/>
  <c r="F238" i="3"/>
  <c r="F213" i="3"/>
  <c r="F189" i="3"/>
  <c r="F164" i="3"/>
  <c r="F138" i="3"/>
  <c r="F113" i="3"/>
  <c r="F38" i="3"/>
  <c r="F13" i="3"/>
  <c r="F237" i="3"/>
  <c r="F212" i="3"/>
  <c r="F188" i="3"/>
  <c r="F161" i="3"/>
  <c r="F137" i="3"/>
  <c r="F112" i="3"/>
  <c r="F61" i="3"/>
  <c r="F37" i="3"/>
  <c r="F12" i="3"/>
  <c r="F236" i="3"/>
  <c r="F211" i="3"/>
  <c r="F187" i="3"/>
  <c r="F160" i="3"/>
  <c r="F136" i="3"/>
  <c r="F111" i="3"/>
  <c r="F60" i="3"/>
  <c r="F36" i="3"/>
  <c r="F11" i="3"/>
  <c r="F235" i="3"/>
  <c r="F210" i="3"/>
  <c r="F159" i="3"/>
  <c r="F135" i="3"/>
  <c r="F110" i="3"/>
  <c r="F59" i="3"/>
  <c r="F35" i="3"/>
  <c r="F10" i="3"/>
  <c r="F233" i="3"/>
  <c r="F209" i="3"/>
  <c r="F184" i="3"/>
  <c r="F158" i="3"/>
  <c r="F133" i="3"/>
  <c r="F109" i="3"/>
  <c r="F58" i="3"/>
  <c r="F33" i="3"/>
  <c r="F9" i="3"/>
  <c r="F232" i="3"/>
  <c r="F208" i="3"/>
  <c r="F181" i="3"/>
  <c r="F157" i="3"/>
  <c r="F132" i="3"/>
  <c r="F108" i="3"/>
  <c r="F57" i="3"/>
  <c r="F32" i="3"/>
  <c r="F8" i="3"/>
  <c r="F231" i="3"/>
  <c r="F207" i="3"/>
  <c r="F180" i="3"/>
  <c r="F156" i="3"/>
  <c r="F131" i="3"/>
  <c r="F107" i="3"/>
  <c r="F56" i="3"/>
  <c r="F31" i="3"/>
  <c r="F230" i="3"/>
  <c r="F206" i="3"/>
  <c r="F179" i="3"/>
  <c r="F155" i="3"/>
  <c r="F130" i="3"/>
  <c r="F55" i="3"/>
  <c r="F30" i="3"/>
  <c r="F6" i="3"/>
  <c r="F229" i="3"/>
  <c r="F204" i="3"/>
  <c r="F178" i="3"/>
  <c r="F153" i="3"/>
  <c r="F129" i="3"/>
  <c r="F104" i="3"/>
  <c r="F53" i="3"/>
  <c r="F29" i="3"/>
  <c r="F4" i="3"/>
  <c r="F234" i="3"/>
  <c r="F214" i="3"/>
  <c r="F194" i="3"/>
  <c r="F174" i="3"/>
  <c r="F154" i="3"/>
  <c r="F134" i="3"/>
  <c r="F114" i="3"/>
  <c r="F94" i="3"/>
  <c r="F74" i="3"/>
  <c r="F54" i="3"/>
  <c r="F34" i="3"/>
  <c r="F14" i="3"/>
  <c r="C202" i="3"/>
  <c r="E182" i="3"/>
  <c r="F225" i="3"/>
  <c r="F205" i="3"/>
  <c r="F185" i="3"/>
  <c r="F165" i="3"/>
  <c r="F145" i="3"/>
  <c r="F125" i="3"/>
  <c r="F105" i="3"/>
  <c r="F45" i="3"/>
  <c r="F25" i="3"/>
  <c r="F5" i="3"/>
  <c r="F203" i="3"/>
  <c r="F183" i="3"/>
  <c r="F163" i="3"/>
  <c r="F123" i="3"/>
  <c r="F103" i="3"/>
  <c r="F63" i="3"/>
  <c r="B222" i="3"/>
  <c r="F222" i="3"/>
  <c r="F162" i="3"/>
  <c r="F142" i="3"/>
  <c r="F122" i="3"/>
  <c r="F102" i="3"/>
  <c r="F82" i="3"/>
  <c r="F62" i="3"/>
  <c r="F42" i="3"/>
  <c r="F22" i="3"/>
  <c r="F2" i="3"/>
  <c r="E19" i="1"/>
  <c r="E18" i="1"/>
  <c r="F8" i="1"/>
  <c r="F7" i="1" s="1"/>
  <c r="E15" i="1"/>
  <c r="E20" i="1"/>
  <c r="C104" i="3"/>
  <c r="C222" i="3"/>
  <c r="D202" i="3"/>
  <c r="E142" i="3"/>
  <c r="C182" i="3"/>
  <c r="C142" i="3"/>
  <c r="B102" i="3"/>
  <c r="C102" i="3"/>
  <c r="D182" i="3"/>
  <c r="E116" i="3"/>
  <c r="B182" i="3"/>
  <c r="E180" i="3"/>
  <c r="C100" i="3"/>
  <c r="C143" i="3"/>
  <c r="C103" i="3"/>
  <c r="C117" i="3"/>
  <c r="D103" i="3"/>
  <c r="C223" i="3"/>
  <c r="C183" i="3"/>
  <c r="C112" i="3"/>
  <c r="E179" i="3"/>
  <c r="D224" i="3"/>
  <c r="D223" i="3"/>
  <c r="E102" i="3"/>
  <c r="C225" i="3"/>
  <c r="D222" i="3"/>
  <c r="D204" i="3"/>
  <c r="E99" i="3"/>
  <c r="D165" i="3"/>
  <c r="B227" i="3"/>
  <c r="E192" i="3"/>
  <c r="E188" i="3"/>
  <c r="B232" i="3"/>
  <c r="D164" i="3"/>
  <c r="C193" i="3"/>
  <c r="D163" i="3"/>
  <c r="C192" i="3"/>
  <c r="D162" i="3"/>
  <c r="B122" i="3"/>
  <c r="C184" i="3"/>
  <c r="D116" i="3"/>
  <c r="B96" i="3"/>
  <c r="B88" i="3"/>
  <c r="C111" i="3"/>
  <c r="D115" i="3"/>
  <c r="B90" i="3"/>
  <c r="D114" i="3"/>
  <c r="B230" i="3"/>
  <c r="D110" i="3"/>
  <c r="B191" i="3"/>
  <c r="C233" i="3"/>
  <c r="C147" i="3"/>
  <c r="B133" i="3"/>
  <c r="C232" i="3"/>
  <c r="D199" i="3"/>
  <c r="E231" i="3"/>
  <c r="E112" i="3"/>
  <c r="B132" i="3"/>
  <c r="C231" i="3"/>
  <c r="E111" i="3"/>
  <c r="B131" i="3"/>
  <c r="D171" i="3"/>
  <c r="B130" i="3"/>
  <c r="B231" i="3"/>
  <c r="C191" i="3"/>
  <c r="D111" i="3"/>
  <c r="E154" i="3"/>
  <c r="E232" i="3"/>
  <c r="D170" i="3"/>
  <c r="E223" i="3"/>
  <c r="E108" i="3"/>
  <c r="B128" i="3"/>
  <c r="E191" i="3"/>
  <c r="B93" i="3"/>
  <c r="C113" i="3"/>
  <c r="B233" i="3"/>
  <c r="B92" i="3"/>
  <c r="B91" i="3"/>
  <c r="E153" i="3"/>
  <c r="E152" i="3"/>
  <c r="B190" i="3"/>
  <c r="E151" i="3"/>
  <c r="C153" i="3"/>
  <c r="D211" i="3"/>
  <c r="C152" i="3"/>
  <c r="D210" i="3"/>
  <c r="E234" i="3"/>
  <c r="B162" i="3"/>
  <c r="C236" i="3"/>
  <c r="C151" i="3"/>
  <c r="D205" i="3"/>
  <c r="E233" i="3"/>
  <c r="E143" i="3"/>
  <c r="B142" i="3"/>
  <c r="C196" i="3"/>
  <c r="D216" i="3"/>
  <c r="B217" i="3"/>
  <c r="E217" i="3"/>
  <c r="B213" i="3"/>
  <c r="B212" i="3"/>
  <c r="D156" i="3"/>
  <c r="B211" i="3"/>
  <c r="C216" i="3"/>
  <c r="C173" i="3"/>
  <c r="C133" i="3"/>
  <c r="C92" i="3"/>
  <c r="D197" i="3"/>
  <c r="D151" i="3"/>
  <c r="E212" i="3"/>
  <c r="E174" i="3"/>
  <c r="E132" i="3"/>
  <c r="E94" i="3"/>
  <c r="B210" i="3"/>
  <c r="B167" i="3"/>
  <c r="B115" i="3"/>
  <c r="E98" i="3"/>
  <c r="E137" i="3"/>
  <c r="E136" i="3"/>
  <c r="E95" i="3"/>
  <c r="C213" i="3"/>
  <c r="C132" i="3"/>
  <c r="D196" i="3"/>
  <c r="E211" i="3"/>
  <c r="C212" i="3"/>
  <c r="C171" i="3"/>
  <c r="C131" i="3"/>
  <c r="D195" i="3"/>
  <c r="D137" i="3"/>
  <c r="E172" i="3"/>
  <c r="E92" i="3"/>
  <c r="B198" i="3"/>
  <c r="B157" i="3"/>
  <c r="B113" i="3"/>
  <c r="C137" i="3"/>
  <c r="D157" i="3"/>
  <c r="E176" i="3"/>
  <c r="E96" i="3"/>
  <c r="B170" i="3"/>
  <c r="C176" i="3"/>
  <c r="C172" i="3"/>
  <c r="D150" i="3"/>
  <c r="E173" i="3"/>
  <c r="E131" i="3"/>
  <c r="E93" i="3"/>
  <c r="B208" i="3"/>
  <c r="B114" i="3"/>
  <c r="D194" i="3"/>
  <c r="D136" i="3"/>
  <c r="E171" i="3"/>
  <c r="B197" i="3"/>
  <c r="B156" i="3"/>
  <c r="B112" i="3"/>
  <c r="E97" i="3"/>
  <c r="E216" i="3"/>
  <c r="B168" i="3"/>
  <c r="E203" i="3"/>
  <c r="B153" i="3"/>
  <c r="C159" i="3"/>
  <c r="C125" i="3"/>
  <c r="D236" i="3"/>
  <c r="D190" i="3"/>
  <c r="D130" i="3"/>
  <c r="E202" i="3"/>
  <c r="E122" i="3"/>
  <c r="B195" i="3"/>
  <c r="B152" i="3"/>
  <c r="B110" i="3"/>
  <c r="C197" i="3"/>
  <c r="D177" i="3"/>
  <c r="B177" i="3"/>
  <c r="B176" i="3"/>
  <c r="B173" i="3"/>
  <c r="E177" i="3"/>
  <c r="C217" i="3"/>
  <c r="C136" i="3"/>
  <c r="D96" i="3"/>
  <c r="E175" i="3"/>
  <c r="E133" i="3"/>
  <c r="D237" i="3"/>
  <c r="C239" i="3"/>
  <c r="C158" i="3"/>
  <c r="C124" i="3"/>
  <c r="E237" i="3"/>
  <c r="E157" i="3"/>
  <c r="E117" i="3"/>
  <c r="B2" i="3"/>
  <c r="B194" i="3"/>
  <c r="B172" i="3"/>
  <c r="C97" i="3"/>
  <c r="C93" i="3"/>
  <c r="E213" i="3"/>
  <c r="B116" i="3"/>
  <c r="E123" i="3"/>
  <c r="B196" i="3"/>
  <c r="C238" i="3"/>
  <c r="C123" i="3"/>
  <c r="D230" i="3"/>
  <c r="E236" i="3"/>
  <c r="E156" i="3"/>
  <c r="B237" i="3"/>
  <c r="B193" i="3"/>
  <c r="B150" i="3"/>
  <c r="E178" i="3"/>
  <c r="D97" i="3"/>
  <c r="B117" i="3"/>
  <c r="D198" i="3"/>
  <c r="C203" i="3"/>
  <c r="C122" i="3"/>
  <c r="D183" i="3"/>
  <c r="E235" i="3"/>
  <c r="E193" i="3"/>
  <c r="E155" i="3"/>
  <c r="E113" i="3"/>
  <c r="B192" i="3"/>
  <c r="D2" i="3"/>
  <c r="C99" i="3"/>
  <c r="B138" i="3"/>
  <c r="D101" i="3"/>
  <c r="B215" i="3"/>
  <c r="B160" i="3"/>
  <c r="B135" i="3"/>
  <c r="B220" i="3"/>
  <c r="B139" i="3"/>
  <c r="C179" i="3"/>
  <c r="B218" i="3"/>
  <c r="B161" i="3"/>
  <c r="C121" i="3"/>
  <c r="D159" i="3"/>
  <c r="C120" i="3"/>
  <c r="D158" i="3"/>
  <c r="D100" i="3"/>
  <c r="E221" i="3"/>
  <c r="E141" i="3"/>
  <c r="B239" i="3"/>
  <c r="B214" i="3"/>
  <c r="B159" i="3"/>
  <c r="B134" i="3"/>
  <c r="D141" i="3"/>
  <c r="D139" i="3"/>
  <c r="E120" i="3"/>
  <c r="C119" i="3"/>
  <c r="E201" i="3"/>
  <c r="C98" i="3"/>
  <c r="D161" i="3"/>
  <c r="D160" i="3"/>
  <c r="C201" i="3"/>
  <c r="C199" i="3"/>
  <c r="D215" i="3"/>
  <c r="D99" i="3"/>
  <c r="E220" i="3"/>
  <c r="E195" i="3"/>
  <c r="E140" i="3"/>
  <c r="E115" i="3"/>
  <c r="B238" i="3"/>
  <c r="B158" i="3"/>
  <c r="B101" i="3"/>
  <c r="B75" i="3"/>
  <c r="C198" i="3"/>
  <c r="C118" i="3"/>
  <c r="D214" i="3"/>
  <c r="D98" i="3"/>
  <c r="E219" i="3"/>
  <c r="E194" i="3"/>
  <c r="E139" i="3"/>
  <c r="E114" i="3"/>
  <c r="B100" i="3"/>
  <c r="C229" i="3"/>
  <c r="D229" i="3"/>
  <c r="B229" i="3"/>
  <c r="C209" i="3"/>
  <c r="D209" i="3"/>
  <c r="B209" i="3"/>
  <c r="C189" i="3"/>
  <c r="D189" i="3"/>
  <c r="B189" i="3"/>
  <c r="C169" i="3"/>
  <c r="D169" i="3"/>
  <c r="B169" i="3"/>
  <c r="C149" i="3"/>
  <c r="D149" i="3"/>
  <c r="B149" i="3"/>
  <c r="C129" i="3"/>
  <c r="D129" i="3"/>
  <c r="B129" i="3"/>
  <c r="C109" i="3"/>
  <c r="D109" i="3"/>
  <c r="B109" i="3"/>
  <c r="B89" i="3"/>
  <c r="B69" i="3"/>
  <c r="D239" i="3"/>
  <c r="D181" i="3"/>
  <c r="D155" i="3"/>
  <c r="D123" i="3"/>
  <c r="E218" i="3"/>
  <c r="E163" i="3"/>
  <c r="E138" i="3"/>
  <c r="B181" i="3"/>
  <c r="C228" i="3"/>
  <c r="D228" i="3"/>
  <c r="C208" i="3"/>
  <c r="D208" i="3"/>
  <c r="C188" i="3"/>
  <c r="D188" i="3"/>
  <c r="C168" i="3"/>
  <c r="D168" i="3"/>
  <c r="C148" i="3"/>
  <c r="D148" i="3"/>
  <c r="C128" i="3"/>
  <c r="D128" i="3"/>
  <c r="C108" i="3"/>
  <c r="D108" i="3"/>
  <c r="C221" i="3"/>
  <c r="C141" i="3"/>
  <c r="D238" i="3"/>
  <c r="D180" i="3"/>
  <c r="D154" i="3"/>
  <c r="E162" i="3"/>
  <c r="B235" i="3"/>
  <c r="B180" i="3"/>
  <c r="B155" i="3"/>
  <c r="B140" i="3"/>
  <c r="D207" i="3"/>
  <c r="E207" i="3"/>
  <c r="E161" i="3"/>
  <c r="B154" i="3"/>
  <c r="D138" i="3"/>
  <c r="B219" i="3"/>
  <c r="D219" i="3"/>
  <c r="B79" i="3"/>
  <c r="C181" i="3"/>
  <c r="B81" i="3"/>
  <c r="B78" i="3"/>
  <c r="B221" i="3"/>
  <c r="C101" i="3"/>
  <c r="B80" i="3"/>
  <c r="C200" i="3"/>
  <c r="D187" i="3"/>
  <c r="E187" i="3"/>
  <c r="D127" i="3"/>
  <c r="B127" i="3"/>
  <c r="E127" i="3"/>
  <c r="B67" i="3"/>
  <c r="C140" i="3"/>
  <c r="B234" i="3"/>
  <c r="D206" i="3"/>
  <c r="E206" i="3"/>
  <c r="B206" i="3"/>
  <c r="D146" i="3"/>
  <c r="E146" i="3"/>
  <c r="B146" i="3"/>
  <c r="B66" i="3"/>
  <c r="D178" i="3"/>
  <c r="D94" i="3"/>
  <c r="E215" i="3"/>
  <c r="E160" i="3"/>
  <c r="E135" i="3"/>
  <c r="B207" i="3"/>
  <c r="B178" i="3"/>
  <c r="E225" i="3"/>
  <c r="B225" i="3"/>
  <c r="E205" i="3"/>
  <c r="B205" i="3"/>
  <c r="E185" i="3"/>
  <c r="B185" i="3"/>
  <c r="E165" i="3"/>
  <c r="B165" i="3"/>
  <c r="E145" i="3"/>
  <c r="B145" i="3"/>
  <c r="E125" i="3"/>
  <c r="B125" i="3"/>
  <c r="E105" i="3"/>
  <c r="B105" i="3"/>
  <c r="B85" i="3"/>
  <c r="B65" i="3"/>
  <c r="C218" i="3"/>
  <c r="C163" i="3"/>
  <c r="D235" i="3"/>
  <c r="D203" i="3"/>
  <c r="D145" i="3"/>
  <c r="D119" i="3"/>
  <c r="E214" i="3"/>
  <c r="E134" i="3"/>
  <c r="B202" i="3"/>
  <c r="B121" i="3"/>
  <c r="B95" i="3"/>
  <c r="B68" i="3"/>
  <c r="E224" i="3"/>
  <c r="B224" i="3"/>
  <c r="E204" i="3"/>
  <c r="B204" i="3"/>
  <c r="E184" i="3"/>
  <c r="B184" i="3"/>
  <c r="E164" i="3"/>
  <c r="B164" i="3"/>
  <c r="E144" i="3"/>
  <c r="B144" i="3"/>
  <c r="E124" i="3"/>
  <c r="B124" i="3"/>
  <c r="E104" i="3"/>
  <c r="B104" i="3"/>
  <c r="B84" i="3"/>
  <c r="B64" i="3"/>
  <c r="C187" i="3"/>
  <c r="D234" i="3"/>
  <c r="D144" i="3"/>
  <c r="D118" i="3"/>
  <c r="E183" i="3"/>
  <c r="E103" i="3"/>
  <c r="B201" i="3"/>
  <c r="B120" i="3"/>
  <c r="B94" i="3"/>
  <c r="E121" i="3"/>
  <c r="E200" i="3"/>
  <c r="B119" i="3"/>
  <c r="D220" i="3"/>
  <c r="D135" i="3"/>
  <c r="E199" i="3"/>
  <c r="D134" i="3"/>
  <c r="E118" i="3"/>
  <c r="D227" i="3"/>
  <c r="E227" i="3"/>
  <c r="D167" i="3"/>
  <c r="E167" i="3"/>
  <c r="D147" i="3"/>
  <c r="E147" i="3"/>
  <c r="D107" i="3"/>
  <c r="B107" i="3"/>
  <c r="E107" i="3"/>
  <c r="B87" i="3"/>
  <c r="D179" i="3"/>
  <c r="D95" i="3"/>
  <c r="D226" i="3"/>
  <c r="E226" i="3"/>
  <c r="B226" i="3"/>
  <c r="D186" i="3"/>
  <c r="E186" i="3"/>
  <c r="B186" i="3"/>
  <c r="D166" i="3"/>
  <c r="E166" i="3"/>
  <c r="B166" i="3"/>
  <c r="D126" i="3"/>
  <c r="E126" i="3"/>
  <c r="B126" i="3"/>
  <c r="D106" i="3"/>
  <c r="E106" i="3"/>
  <c r="B106" i="3"/>
  <c r="B86" i="3"/>
  <c r="C186" i="3"/>
  <c r="C106" i="3"/>
  <c r="D175" i="3"/>
  <c r="D143" i="3"/>
  <c r="B200" i="3"/>
  <c r="B175" i="3"/>
  <c r="C185" i="3"/>
  <c r="C105" i="3"/>
  <c r="D174" i="3"/>
  <c r="B228" i="3"/>
  <c r="B174" i="3"/>
  <c r="B148" i="3"/>
  <c r="E230" i="3"/>
  <c r="E210" i="3"/>
  <c r="E190" i="3"/>
  <c r="E170" i="3"/>
  <c r="E150" i="3"/>
  <c r="E130" i="3"/>
  <c r="E110" i="3"/>
  <c r="E2" i="3" l="1"/>
  <c r="C3" i="3" s="1"/>
  <c r="D3" i="3" s="1"/>
  <c r="E3" i="3" s="1"/>
  <c r="C4" i="3" s="1"/>
  <c r="D4" i="3" l="1"/>
  <c r="E4" i="3" s="1"/>
  <c r="C5" i="3" s="1"/>
  <c r="D5" i="3" l="1"/>
  <c r="E5" i="3" s="1"/>
  <c r="C6" i="3" s="1"/>
  <c r="D6" i="3" l="1"/>
  <c r="E6" i="3" s="1"/>
  <c r="C7" i="3" s="1"/>
  <c r="D7" i="3" l="1"/>
  <c r="E7" i="3" s="1"/>
  <c r="C8" i="3" s="1"/>
  <c r="D8" i="3" l="1"/>
  <c r="E8" i="3" s="1"/>
  <c r="C9" i="3" s="1"/>
  <c r="D9" i="3" l="1"/>
  <c r="E9" i="3" s="1"/>
  <c r="C10" i="3" s="1"/>
  <c r="D10" i="3" l="1"/>
  <c r="E10" i="3" s="1"/>
  <c r="C11" i="3" s="1"/>
  <c r="D11" i="3" l="1"/>
  <c r="E11" i="3" s="1"/>
  <c r="C12" i="3" s="1"/>
  <c r="D12" i="3" l="1"/>
  <c r="E12" i="3" s="1"/>
  <c r="C13" i="3" s="1"/>
  <c r="D13" i="3" l="1"/>
  <c r="E13" i="3" s="1"/>
  <c r="C14" i="3" s="1"/>
  <c r="D14" i="3" l="1"/>
  <c r="E14" i="3" s="1"/>
  <c r="C15" i="3" s="1"/>
  <c r="D15" i="3" l="1"/>
  <c r="E15" i="3" s="1"/>
  <c r="C16" i="3" s="1"/>
  <c r="D16" i="3" l="1"/>
  <c r="E16" i="3" s="1"/>
  <c r="C17" i="3" s="1"/>
  <c r="D17" i="3" l="1"/>
  <c r="E17" i="3" s="1"/>
  <c r="C18" i="3" s="1"/>
  <c r="D18" i="3" l="1"/>
  <c r="E18" i="3" s="1"/>
  <c r="C19" i="3" s="1"/>
  <c r="D19" i="3" l="1"/>
  <c r="E19" i="3" s="1"/>
  <c r="C20" i="3" s="1"/>
  <c r="D20" i="3" l="1"/>
  <c r="E20" i="3" s="1"/>
  <c r="C21" i="3" s="1"/>
  <c r="D21" i="3" l="1"/>
  <c r="E21" i="3" s="1"/>
  <c r="C22" i="3" s="1"/>
  <c r="D22" i="3" l="1"/>
  <c r="E22" i="3" s="1"/>
  <c r="C23" i="3" s="1"/>
  <c r="D23" i="3" l="1"/>
  <c r="E23" i="3" s="1"/>
  <c r="C24" i="3" s="1"/>
  <c r="D24" i="3" l="1"/>
  <c r="E24" i="3" s="1"/>
  <c r="C25" i="3" s="1"/>
  <c r="D25" i="3" l="1"/>
  <c r="E25" i="3" s="1"/>
  <c r="C26" i="3" s="1"/>
  <c r="D26" i="3" l="1"/>
  <c r="E26" i="3" s="1"/>
  <c r="C27" i="3" s="1"/>
  <c r="D27" i="3" l="1"/>
  <c r="E27" i="3" s="1"/>
  <c r="C28" i="3" s="1"/>
  <c r="D28" i="3" l="1"/>
  <c r="E28" i="3" s="1"/>
  <c r="C29" i="3" s="1"/>
  <c r="D29" i="3" l="1"/>
  <c r="E29" i="3"/>
  <c r="C30" i="3" s="1"/>
  <c r="D30" i="3" l="1"/>
  <c r="E30" i="3" s="1"/>
  <c r="C31" i="3" s="1"/>
  <c r="D31" i="3" l="1"/>
  <c r="E31" i="3" s="1"/>
  <c r="C32" i="3" s="1"/>
  <c r="D32" i="3" l="1"/>
  <c r="E32" i="3" s="1"/>
  <c r="C33" i="3" s="1"/>
  <c r="D33" i="3" l="1"/>
  <c r="E33" i="3" s="1"/>
  <c r="C34" i="3" s="1"/>
  <c r="D34" i="3" l="1"/>
  <c r="E34" i="3"/>
  <c r="C35" i="3" s="1"/>
  <c r="D35" i="3" l="1"/>
  <c r="E35" i="3" s="1"/>
  <c r="C36" i="3" s="1"/>
  <c r="D36" i="3" l="1"/>
  <c r="E36" i="3" s="1"/>
  <c r="C37" i="3" s="1"/>
  <c r="D37" i="3" l="1"/>
  <c r="E37" i="3" s="1"/>
  <c r="C38" i="3" s="1"/>
  <c r="D38" i="3" l="1"/>
  <c r="E38" i="3" s="1"/>
  <c r="C39" i="3" s="1"/>
  <c r="D39" i="3" l="1"/>
  <c r="E39" i="3" s="1"/>
  <c r="C40" i="3" s="1"/>
  <c r="D40" i="3" l="1"/>
  <c r="E40" i="3" s="1"/>
  <c r="C41" i="3" s="1"/>
  <c r="D41" i="3" l="1"/>
  <c r="E41" i="3" s="1"/>
  <c r="C42" i="3" s="1"/>
  <c r="D42" i="3" l="1"/>
  <c r="E42" i="3" s="1"/>
  <c r="C43" i="3" s="1"/>
  <c r="D43" i="3" l="1"/>
  <c r="E43" i="3" s="1"/>
  <c r="C44" i="3" s="1"/>
  <c r="D44" i="3" l="1"/>
  <c r="E44" i="3" s="1"/>
  <c r="C45" i="3" s="1"/>
  <c r="D45" i="3" l="1"/>
  <c r="E45" i="3" s="1"/>
  <c r="C46" i="3" s="1"/>
  <c r="D46" i="3" l="1"/>
  <c r="E46" i="3" s="1"/>
  <c r="C47" i="3" s="1"/>
  <c r="D47" i="3" l="1"/>
  <c r="E47" i="3" s="1"/>
  <c r="C48" i="3" s="1"/>
  <c r="D48" i="3" l="1"/>
  <c r="E48" i="3" s="1"/>
  <c r="C49" i="3" s="1"/>
  <c r="D49" i="3" l="1"/>
  <c r="E49" i="3" s="1"/>
  <c r="C50" i="3" s="1"/>
  <c r="D50" i="3" l="1"/>
  <c r="E50" i="3" s="1"/>
  <c r="C51" i="3" s="1"/>
  <c r="D51" i="3" l="1"/>
  <c r="E51" i="3" s="1"/>
  <c r="C52" i="3" s="1"/>
  <c r="D52" i="3" l="1"/>
  <c r="E52" i="3" s="1"/>
  <c r="C53" i="3" s="1"/>
  <c r="D53" i="3" l="1"/>
  <c r="E53" i="3"/>
  <c r="C54" i="3" s="1"/>
  <c r="D54" i="3" l="1"/>
  <c r="E54" i="3" s="1"/>
  <c r="C55" i="3" s="1"/>
  <c r="D55" i="3" l="1"/>
  <c r="E55" i="3"/>
  <c r="C56" i="3" s="1"/>
  <c r="D56" i="3" l="1"/>
  <c r="E56" i="3" s="1"/>
  <c r="C57" i="3" s="1"/>
  <c r="D57" i="3" l="1"/>
  <c r="E57" i="3" s="1"/>
  <c r="C58" i="3" s="1"/>
  <c r="D58" i="3" l="1"/>
  <c r="E58" i="3" s="1"/>
  <c r="C59" i="3" s="1"/>
  <c r="D59" i="3" l="1"/>
  <c r="E59" i="3" s="1"/>
  <c r="C60" i="3" s="1"/>
  <c r="D60" i="3" l="1"/>
  <c r="E60" i="3"/>
  <c r="C61" i="3" s="1"/>
  <c r="D61" i="3" l="1"/>
  <c r="E61" i="3" s="1"/>
  <c r="C62" i="3" s="1"/>
  <c r="D62" i="3" l="1"/>
  <c r="E62" i="3"/>
  <c r="C63" i="3" s="1"/>
  <c r="D63" i="3" l="1"/>
  <c r="E63" i="3"/>
  <c r="C64" i="3" s="1"/>
  <c r="D64" i="3" l="1"/>
  <c r="E64" i="3"/>
  <c r="C65" i="3" s="1"/>
  <c r="D65" i="3" l="1"/>
  <c r="E65" i="3"/>
  <c r="C66" i="3" s="1"/>
  <c r="D66" i="3" l="1"/>
  <c r="E66" i="3" s="1"/>
  <c r="C67" i="3" s="1"/>
  <c r="D67" i="3" l="1"/>
  <c r="E67" i="3" s="1"/>
  <c r="C68" i="3" s="1"/>
  <c r="D68" i="3" l="1"/>
  <c r="E68" i="3" s="1"/>
  <c r="C69" i="3" s="1"/>
  <c r="D69" i="3" l="1"/>
  <c r="E69" i="3" s="1"/>
  <c r="C70" i="3" s="1"/>
  <c r="D70" i="3" l="1"/>
  <c r="E70" i="3" s="1"/>
  <c r="C71" i="3" s="1"/>
  <c r="D71" i="3" l="1"/>
  <c r="E71" i="3" s="1"/>
  <c r="C72" i="3" s="1"/>
  <c r="D72" i="3" l="1"/>
  <c r="E72" i="3" s="1"/>
  <c r="C73" i="3" s="1"/>
  <c r="D73" i="3" l="1"/>
  <c r="E73" i="3" s="1"/>
  <c r="C74" i="3" s="1"/>
  <c r="D74" i="3" l="1"/>
  <c r="E74" i="3" s="1"/>
  <c r="C75" i="3" s="1"/>
  <c r="D75" i="3" l="1"/>
  <c r="E75" i="3" s="1"/>
  <c r="C76" i="3" s="1"/>
  <c r="D76" i="3" l="1"/>
  <c r="E76" i="3" s="1"/>
  <c r="C77" i="3" s="1"/>
  <c r="D77" i="3" l="1"/>
  <c r="E77" i="3" s="1"/>
  <c r="C78" i="3" s="1"/>
  <c r="D78" i="3" l="1"/>
  <c r="E78" i="3"/>
  <c r="C79" i="3" s="1"/>
  <c r="D79" i="3" l="1"/>
  <c r="E79" i="3" s="1"/>
  <c r="C80" i="3" s="1"/>
  <c r="D80" i="3" l="1"/>
  <c r="E80" i="3" s="1"/>
  <c r="C81" i="3" s="1"/>
  <c r="D81" i="3" l="1"/>
  <c r="E81" i="3"/>
  <c r="C82" i="3" s="1"/>
  <c r="D82" i="3" l="1"/>
  <c r="E82" i="3" s="1"/>
  <c r="C83" i="3" s="1"/>
  <c r="D83" i="3" l="1"/>
  <c r="E83" i="3"/>
  <c r="C84" i="3" s="1"/>
  <c r="D84" i="3" l="1"/>
  <c r="E84" i="3" s="1"/>
  <c r="C85" i="3" s="1"/>
  <c r="D85" i="3" l="1"/>
  <c r="E85" i="3"/>
  <c r="C86" i="3" s="1"/>
  <c r="D86" i="3" l="1"/>
  <c r="E86" i="3"/>
  <c r="C87" i="3" s="1"/>
  <c r="D87" i="3" l="1"/>
  <c r="E87" i="3"/>
  <c r="C88" i="3" s="1"/>
  <c r="D88" i="3" l="1"/>
  <c r="E88" i="3"/>
  <c r="C89" i="3" s="1"/>
  <c r="D89" i="3" l="1"/>
  <c r="E89" i="3" s="1"/>
  <c r="C90" i="3" s="1"/>
  <c r="D90" i="3" l="1"/>
  <c r="E90" i="3"/>
  <c r="C91" i="3" s="1"/>
  <c r="D91" i="3" l="1"/>
  <c r="E91" i="3" s="1"/>
</calcChain>
</file>

<file path=xl/sharedStrings.xml><?xml version="1.0" encoding="utf-8"?>
<sst xmlns="http://schemas.openxmlformats.org/spreadsheetml/2006/main" count="42" uniqueCount="40">
  <si>
    <t>Investimento mês:</t>
  </si>
  <si>
    <t>Período de investimento (em meses):</t>
  </si>
  <si>
    <t>Patrimônio acumulado:</t>
  </si>
  <si>
    <t>Dividendos mensais:</t>
  </si>
  <si>
    <t>Nome do Fundo Imobiliário:</t>
  </si>
  <si>
    <t>Taxa de rendimento mensal:</t>
  </si>
  <si>
    <t>Cenários</t>
  </si>
  <si>
    <t>Patrimônio acumulado</t>
  </si>
  <si>
    <t>Dividendos mensais</t>
  </si>
  <si>
    <t>Tipo</t>
  </si>
  <si>
    <t>Fundos Imobiliários</t>
  </si>
  <si>
    <t>Nome</t>
  </si>
  <si>
    <t>Taxa de Rendimento (%)</t>
  </si>
  <si>
    <t>HGLG11</t>
  </si>
  <si>
    <t>Logístico/Industrial</t>
  </si>
  <si>
    <t>MXRF11</t>
  </si>
  <si>
    <t>Papel</t>
  </si>
  <si>
    <t>KNRI11</t>
  </si>
  <si>
    <t>Híbrido</t>
  </si>
  <si>
    <t>BCFF11</t>
  </si>
  <si>
    <t>Fundos</t>
  </si>
  <si>
    <t>TRXF11</t>
  </si>
  <si>
    <t>Tijolo</t>
  </si>
  <si>
    <t>IRDM11</t>
  </si>
  <si>
    <t>DEVA11</t>
  </si>
  <si>
    <t>Desenvolvimento</t>
  </si>
  <si>
    <t>HGBS11</t>
  </si>
  <si>
    <t>Hospitalidade</t>
  </si>
  <si>
    <t>Dados do investimento</t>
  </si>
  <si>
    <t>Resultados do investimento</t>
  </si>
  <si>
    <t>Mês</t>
  </si>
  <si>
    <t>Aporte Mensal (R$)</t>
  </si>
  <si>
    <t>Patrimônio Inicial (R$)</t>
  </si>
  <si>
    <t>Rendimento do Mês (R$)</t>
  </si>
  <si>
    <t>Patrimônio Acumulado (R$)</t>
  </si>
  <si>
    <t>Data final do Investimento:</t>
  </si>
  <si>
    <t>Data Inicial do investimento:</t>
  </si>
  <si>
    <t>Data</t>
  </si>
  <si>
    <t>Calculadora de Ivestimento</t>
  </si>
  <si>
    <t>Periodo de investimento (em 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</si>
</sst>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28"/>
      <color theme="0"/>
      <name val="Arial"/>
      <family val="2"/>
    </font>
    <font>
      <b/>
      <sz val="1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7711111789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77111117893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0" fontId="3" fillId="0" borderId="0" xfId="0" applyFont="1"/>
    <xf numFmtId="44" fontId="3" fillId="0" borderId="0" xfId="0" applyNumberFormat="1" applyFont="1"/>
    <xf numFmtId="44" fontId="0" fillId="0" borderId="0" xfId="1" applyFont="1" applyAlignment="1">
      <alignment vertical="center" wrapText="1"/>
    </xf>
    <xf numFmtId="14" fontId="0" fillId="0" borderId="0" xfId="1" applyNumberFormat="1" applyFont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44" fontId="3" fillId="6" borderId="9" xfId="1" applyFont="1" applyFill="1" applyBorder="1" applyAlignment="1">
      <alignment horizontal="left" vertical="center"/>
    </xf>
    <xf numFmtId="14" fontId="3" fillId="6" borderId="9" xfId="1" applyNumberFormat="1" applyFont="1" applyFill="1" applyBorder="1" applyAlignment="1">
      <alignment horizontal="center" vertical="center"/>
    </xf>
    <xf numFmtId="44" fontId="5" fillId="4" borderId="9" xfId="1" applyFont="1" applyFill="1" applyBorder="1" applyAlignment="1">
      <alignment horizontal="left" vertical="center"/>
    </xf>
    <xf numFmtId="0" fontId="3" fillId="7" borderId="0" xfId="0" applyFont="1" applyFill="1"/>
    <xf numFmtId="0" fontId="3" fillId="7" borderId="0" xfId="0" applyFont="1" applyFill="1" applyAlignment="1">
      <alignment horizontal="left" vertical="center"/>
    </xf>
    <xf numFmtId="44" fontId="3" fillId="7" borderId="0" xfId="0" applyNumberFormat="1" applyFont="1" applyFill="1"/>
    <xf numFmtId="10" fontId="3" fillId="6" borderId="9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0" xfId="0" applyFont="1" applyFill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 applyProtection="1">
      <alignment horizontal="center" vertical="center"/>
      <protection locked="0"/>
    </xf>
    <xf numFmtId="44" fontId="5" fillId="5" borderId="9" xfId="1" applyFont="1" applyFill="1" applyBorder="1" applyAlignment="1" applyProtection="1">
      <alignment horizontal="left" vertical="center"/>
      <protection locked="0"/>
    </xf>
    <xf numFmtId="14" fontId="5" fillId="5" borderId="9" xfId="0" applyNumberFormat="1" applyFont="1" applyFill="1" applyBorder="1" applyAlignment="1" applyProtection="1">
      <alignment horizontal="center" vertical="center"/>
      <protection locked="0"/>
    </xf>
    <xf numFmtId="44" fontId="3" fillId="0" borderId="9" xfId="1" applyFont="1" applyBorder="1" applyAlignment="1">
      <alignment horizontal="center" vertical="center"/>
    </xf>
    <xf numFmtId="44" fontId="3" fillId="0" borderId="9" xfId="0" applyNumberFormat="1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0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0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000" b="1">
                <a:solidFill>
                  <a:sysClr val="windowText" lastClr="000000"/>
                </a:solidFill>
              </a:rPr>
              <a:t>Patrimonio acumulado ao longo dos meses</a:t>
            </a:r>
          </a:p>
        </c:rich>
      </c:tx>
      <c:layout>
        <c:manualLayout>
          <c:xMode val="edge"/>
          <c:yMode val="edge"/>
          <c:x val="0.17565718994643592"/>
          <c:y val="6.67544738361469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0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456170574475472"/>
          <c:y val="0.23766372549321971"/>
          <c:w val="0.82725596877646168"/>
          <c:h val="0.61308739942081192"/>
        </c:manualLayout>
      </c:layout>
      <c:lineChart>
        <c:grouping val="standard"/>
        <c:varyColors val="0"/>
        <c:ser>
          <c:idx val="1"/>
          <c:order val="1"/>
          <c:tx>
            <c:v>Patrimonio_acumulado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[0]!eixo_Y</c:f>
              <c:numCache>
                <c:formatCode>_("R$"* #,##0.00_);_("R$"* \(#,##0.00\);_("R$"* "-"??_);_(@_)</c:formatCode>
                <c:ptCount val="90"/>
                <c:pt idx="0">
                  <c:v>500</c:v>
                </c:pt>
                <c:pt idx="1">
                  <c:v>1004</c:v>
                </c:pt>
                <c:pt idx="2">
                  <c:v>1512.0319999999999</c:v>
                </c:pt>
                <c:pt idx="3">
                  <c:v>2024.128256</c:v>
                </c:pt>
                <c:pt idx="4">
                  <c:v>2540.3212820479998</c:v>
                </c:pt>
                <c:pt idx="5">
                  <c:v>3060.6438523043839</c:v>
                </c:pt>
                <c:pt idx="6">
                  <c:v>3585.1290031228191</c:v>
                </c:pt>
                <c:pt idx="7">
                  <c:v>4113.8100351478015</c:v>
                </c:pt>
                <c:pt idx="8">
                  <c:v>4646.7205154289841</c:v>
                </c:pt>
                <c:pt idx="9">
                  <c:v>5183.8942795524163</c:v>
                </c:pt>
                <c:pt idx="10">
                  <c:v>5725.3654337888356</c:v>
                </c:pt>
                <c:pt idx="11">
                  <c:v>6271.1683572591464</c:v>
                </c:pt>
                <c:pt idx="12">
                  <c:v>6821.3377041172198</c:v>
                </c:pt>
                <c:pt idx="13">
                  <c:v>7375.9084057501577</c:v>
                </c:pt>
                <c:pt idx="14">
                  <c:v>7934.9156729961587</c:v>
                </c:pt>
                <c:pt idx="15">
                  <c:v>8498.3949983801267</c:v>
                </c:pt>
                <c:pt idx="16">
                  <c:v>9066.382158367167</c:v>
                </c:pt>
                <c:pt idx="17">
                  <c:v>9638.9132156341038</c:v>
                </c:pt>
                <c:pt idx="18">
                  <c:v>10216.024521359177</c:v>
                </c:pt>
                <c:pt idx="19">
                  <c:v>10797.752717530051</c:v>
                </c:pt>
                <c:pt idx="20">
                  <c:v>11384.134739270292</c:v>
                </c:pt>
                <c:pt idx="21">
                  <c:v>11975.207817184455</c:v>
                </c:pt>
                <c:pt idx="22">
                  <c:v>12571.00947972193</c:v>
                </c:pt>
                <c:pt idx="23">
                  <c:v>13171.577555559705</c:v>
                </c:pt>
                <c:pt idx="24">
                  <c:v>13776.950176004182</c:v>
                </c:pt>
                <c:pt idx="25">
                  <c:v>14387.165777412216</c:v>
                </c:pt>
                <c:pt idx="26">
                  <c:v>15002.263103631514</c:v>
                </c:pt>
                <c:pt idx="27">
                  <c:v>15622.281208460567</c:v>
                </c:pt>
                <c:pt idx="28">
                  <c:v>16247.259458128252</c:v>
                </c:pt>
                <c:pt idx="29">
                  <c:v>16877.237533793279</c:v>
                </c:pt>
                <c:pt idx="30">
                  <c:v>17512.255434063627</c:v>
                </c:pt>
                <c:pt idx="31">
                  <c:v>18152.353477536137</c:v>
                </c:pt>
                <c:pt idx="32">
                  <c:v>18797.572305356425</c:v>
                </c:pt>
                <c:pt idx="33">
                  <c:v>19447.952883799277</c:v>
                </c:pt>
                <c:pt idx="34">
                  <c:v>20103.53650686967</c:v>
                </c:pt>
                <c:pt idx="35">
                  <c:v>20764.364798924627</c:v>
                </c:pt>
                <c:pt idx="36">
                  <c:v>21430.479717316026</c:v>
                </c:pt>
                <c:pt idx="37">
                  <c:v>22101.923555054553</c:v>
                </c:pt>
                <c:pt idx="38">
                  <c:v>22778.738943494987</c:v>
                </c:pt>
                <c:pt idx="39">
                  <c:v>23460.968855042946</c:v>
                </c:pt>
                <c:pt idx="40">
                  <c:v>24148.65660588329</c:v>
                </c:pt>
                <c:pt idx="41">
                  <c:v>24841.845858730358</c:v>
                </c:pt>
                <c:pt idx="42">
                  <c:v>25540.5806256002</c:v>
                </c:pt>
                <c:pt idx="43">
                  <c:v>26244.905270605002</c:v>
                </c:pt>
                <c:pt idx="44">
                  <c:v>26954.864512769844</c:v>
                </c:pt>
                <c:pt idx="45">
                  <c:v>27670.503428872002</c:v>
                </c:pt>
                <c:pt idx="46">
                  <c:v>28391.867456302978</c:v>
                </c:pt>
                <c:pt idx="47">
                  <c:v>29119.002395953401</c:v>
                </c:pt>
                <c:pt idx="48">
                  <c:v>29851.954415121028</c:v>
                </c:pt>
                <c:pt idx="49">
                  <c:v>30590.770050441995</c:v>
                </c:pt>
                <c:pt idx="50">
                  <c:v>31335.496210845533</c:v>
                </c:pt>
                <c:pt idx="51">
                  <c:v>32086.180180532298</c:v>
                </c:pt>
                <c:pt idx="52">
                  <c:v>32842.869621976555</c:v>
                </c:pt>
                <c:pt idx="53">
                  <c:v>33605.612578952365</c:v>
                </c:pt>
                <c:pt idx="54">
                  <c:v>34374.457479583987</c:v>
                </c:pt>
                <c:pt idx="55">
                  <c:v>35149.453139420657</c:v>
                </c:pt>
                <c:pt idx="56">
                  <c:v>35930.648764536025</c:v>
                </c:pt>
                <c:pt idx="57">
                  <c:v>36718.093954652315</c:v>
                </c:pt>
                <c:pt idx="58">
                  <c:v>37511.838706289534</c:v>
                </c:pt>
                <c:pt idx="59">
                  <c:v>38311.93341593985</c:v>
                </c:pt>
                <c:pt idx="60">
                  <c:v>39118.42888326737</c:v>
                </c:pt>
                <c:pt idx="61">
                  <c:v>39931.376314333509</c:v>
                </c:pt>
                <c:pt idx="62">
                  <c:v>40750.827324848178</c:v>
                </c:pt>
                <c:pt idx="63">
                  <c:v>41576.833943446967</c:v>
                </c:pt>
                <c:pt idx="64">
                  <c:v>42409.448614994544</c:v>
                </c:pt>
                <c:pt idx="65">
                  <c:v>43248.724203914499</c:v>
                </c:pt>
                <c:pt idx="66">
                  <c:v>44094.713997545812</c:v>
                </c:pt>
                <c:pt idx="67">
                  <c:v>44947.47170952618</c:v>
                </c:pt>
                <c:pt idx="68">
                  <c:v>45807.051483202391</c:v>
                </c:pt>
                <c:pt idx="69">
                  <c:v>46673.507895068011</c:v>
                </c:pt>
                <c:pt idx="70">
                  <c:v>47546.895958228553</c:v>
                </c:pt>
                <c:pt idx="71">
                  <c:v>48427.271125894382</c:v>
                </c:pt>
                <c:pt idx="72">
                  <c:v>49314.689294901538</c:v>
                </c:pt>
                <c:pt idx="73">
                  <c:v>50209.206809260751</c:v>
                </c:pt>
                <c:pt idx="74">
                  <c:v>51110.880463734837</c:v>
                </c:pt>
                <c:pt idx="75">
                  <c:v>52019.767507444718</c:v>
                </c:pt>
                <c:pt idx="76">
                  <c:v>52935.925647504278</c:v>
                </c:pt>
                <c:pt idx="77">
                  <c:v>53859.413052684315</c:v>
                </c:pt>
                <c:pt idx="78">
                  <c:v>54790.28835710579</c:v>
                </c:pt>
                <c:pt idx="79">
                  <c:v>55728.610663962638</c:v>
                </c:pt>
                <c:pt idx="80">
                  <c:v>56674.439549274342</c:v>
                </c:pt>
                <c:pt idx="81">
                  <c:v>57627.835065668536</c:v>
                </c:pt>
                <c:pt idx="82">
                  <c:v>58588.857746193884</c:v>
                </c:pt>
                <c:pt idx="83">
                  <c:v>59557.568608163434</c:v>
                </c:pt>
                <c:pt idx="84">
                  <c:v>60534.029157028745</c:v>
                </c:pt>
                <c:pt idx="85">
                  <c:v>61518.301390284978</c:v>
                </c:pt>
                <c:pt idx="86">
                  <c:v>62510.447801407259</c:v>
                </c:pt>
                <c:pt idx="87">
                  <c:v>63510.531383818517</c:v>
                </c:pt>
                <c:pt idx="88">
                  <c:v>64518.615634889065</c:v>
                </c:pt>
                <c:pt idx="89">
                  <c:v>65534.764559968178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CF-4463-B557-2E6DE0ABB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593968"/>
        <c:axId val="8956961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Meses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[0]!eixo_X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[0]!eixo_X</c15:sqref>
                        </c15:formulaRef>
                      </c:ext>
                    </c:extLst>
                    <c:numCache>
                      <c:formatCode>General</c:formatCode>
                      <c:ptCount val="9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9CF-4463-B557-2E6DE0ABBF3C}"/>
                  </c:ext>
                </c:extLst>
              </c15:ser>
            </c15:filteredLineSeries>
          </c:ext>
        </c:extLst>
      </c:lineChart>
      <c:catAx>
        <c:axId val="895593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5696160"/>
        <c:crosses val="autoZero"/>
        <c:auto val="1"/>
        <c:lblAlgn val="ctr"/>
        <c:lblOffset val="100"/>
        <c:noMultiLvlLbl val="0"/>
      </c:catAx>
      <c:valAx>
        <c:axId val="89569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Patrimônio Acuulado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89559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19050" cap="flat" cmpd="sng" algn="ctr">
      <a:solidFill>
        <a:schemeClr val="accent6">
          <a:lumMod val="75000"/>
        </a:schemeClr>
      </a:solidFill>
      <a:prstDash val="solid"/>
      <a:miter lim="800000"/>
    </a:ln>
    <a:effectLst>
      <a:outerShdw blurRad="50800" dist="38100" dir="18900000" algn="b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22</xdr:row>
      <xdr:rowOff>100011</xdr:rowOff>
    </xdr:from>
    <xdr:to>
      <xdr:col>5</xdr:col>
      <xdr:colOff>1190625</xdr:colOff>
      <xdr:row>42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F85E30-856A-ABBA-C68D-4D5C79720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561865-81BA-4276-B8E3-2FC0A446805C}" name="Tabela2" displayName="Tabela2" ref="A1:F239" totalsRowShown="0" headerRowDxfId="9">
  <autoFilter ref="A1:F239" xr:uid="{A8561865-81BA-4276-B8E3-2FC0A446805C}"/>
  <tableColumns count="6">
    <tableColumn id="1" xr3:uid="{9BA5573D-9A3E-45A3-812C-962AB7232D6C}" name="Mês" dataDxfId="8">
      <calculatedColumnFormula>IF(ROW(A2)&lt;=periodo+1, ROW(A2)-1, "")</calculatedColumnFormula>
    </tableColumn>
    <tableColumn id="2" xr3:uid="{B10E9147-5A76-4907-B8B5-5A260E04591C}" name="Aporte Mensal (R$)"/>
    <tableColumn id="3" xr3:uid="{2379F0E6-0A68-4B15-AC53-66AB2C587FDC}" name="Patrimônio Inicial (R$)"/>
    <tableColumn id="4" xr3:uid="{EEEC1325-EA22-4181-AB60-6B0E3BE818C7}" name="Rendimento do Mês (R$)"/>
    <tableColumn id="7" xr3:uid="{945EEB86-93AB-48BD-94E2-406C606917A6}" name="Patrimônio Acumulado (R$)" dataDxfId="7" dataCellStyle="Moeda">
      <calculatedColumnFormula>IF($A2="","",(C2+B2)+D2)</calculatedColumnFormula>
    </tableColumn>
    <tableColumn id="6" xr3:uid="{4B3A26AD-7A41-4904-AEBD-8F67E8D5479D}" name="Data" dataDxfId="6" dataCellStyle="Moeda">
      <calculatedColumnFormula>IF($A2="","",EDATE(data_inicial,Tabela2[[#This Row],[Mês]]))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3492EB-E6B9-4D1E-927F-3F7BD5868A4E}" name="tabela_fundos_imobiliarios" displayName="tabela_fundos_imobiliarios" ref="A3:C11" headerRowDxfId="5" dataDxfId="4" totalsRowDxfId="3">
  <autoFilter ref="A3:C11" xr:uid="{4E3492EB-E6B9-4D1E-927F-3F7BD5868A4E}"/>
  <tableColumns count="3">
    <tableColumn id="1" xr3:uid="{7E35D577-C2E5-4ABC-A6DF-DA3E24BE744B}" name="Nome" totalsRowLabel="Total" dataDxfId="2"/>
    <tableColumn id="2" xr3:uid="{152F4A55-186E-4A6E-B70E-538D7EA242C5}" name="Tipo" dataDxfId="1"/>
    <tableColumn id="3" xr3:uid="{4A3354D6-B91D-4CCC-9313-DE5035FD1525}" name="Taxa de Rendimento (%)" totalsRowFunction="count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00B8-CDFF-4621-9261-CA5FEFB18C43}">
  <dimension ref="B2:U91"/>
  <sheetViews>
    <sheetView showGridLines="0" tabSelected="1" topLeftCell="A23" workbookViewId="0">
      <selection activeCell="C9" sqref="C9"/>
    </sheetView>
  </sheetViews>
  <sheetFormatPr defaultColWidth="9.109375" defaultRowHeight="15" x14ac:dyDescent="0.25"/>
  <cols>
    <col min="1" max="1" width="9.109375" style="15"/>
    <col min="2" max="2" width="41.6640625" style="15" bestFit="1" customWidth="1"/>
    <col min="3" max="3" width="26.88671875" style="15" customWidth="1"/>
    <col min="4" max="4" width="7.33203125" style="15" customWidth="1"/>
    <col min="5" max="5" width="30" style="15" bestFit="1" customWidth="1"/>
    <col min="6" max="6" width="20" style="15" customWidth="1"/>
    <col min="7" max="7" width="9.109375" style="15"/>
    <col min="8" max="21" width="9.109375" style="25"/>
    <col min="22" max="16384" width="9.109375" style="15"/>
  </cols>
  <sheetData>
    <row r="2" spans="2:21" ht="35.4" thickBot="1" x14ac:dyDescent="0.6">
      <c r="B2" s="37" t="s">
        <v>38</v>
      </c>
      <c r="C2" s="37"/>
      <c r="D2" s="37"/>
      <c r="E2" s="37"/>
      <c r="F2" s="37"/>
    </row>
    <row r="3" spans="2:21" ht="15.6" thickTop="1" x14ac:dyDescent="0.25"/>
    <row r="5" spans="2:21" ht="27" customHeight="1" x14ac:dyDescent="0.25">
      <c r="B5" s="38" t="s">
        <v>28</v>
      </c>
      <c r="C5" s="38"/>
      <c r="E5" s="38" t="s">
        <v>29</v>
      </c>
      <c r="F5" s="38"/>
    </row>
    <row r="6" spans="2:21" s="20" customFormat="1" ht="23.25" customHeight="1" x14ac:dyDescent="0.3">
      <c r="B6" s="21" t="s">
        <v>4</v>
      </c>
      <c r="C6" s="32" t="s">
        <v>19</v>
      </c>
      <c r="E6" s="21" t="s">
        <v>5</v>
      </c>
      <c r="F6" s="28">
        <f>VLOOKUP(C6,tabela_fundos_imobiliarios[#All],3,0)</f>
        <v>8.0000000000000002E-3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2:21" s="20" customFormat="1" ht="23.25" customHeight="1" x14ac:dyDescent="0.3">
      <c r="B7" s="21" t="s">
        <v>0</v>
      </c>
      <c r="C7" s="33">
        <v>500</v>
      </c>
      <c r="E7" s="21" t="s">
        <v>3</v>
      </c>
      <c r="F7" s="22">
        <f>patrimonio_acumulado*taxa</f>
        <v>524.2781164797492</v>
      </c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2:21" s="20" customFormat="1" ht="23.25" customHeight="1" x14ac:dyDescent="0.3">
      <c r="B8" s="21" t="s">
        <v>1</v>
      </c>
      <c r="C8" s="32">
        <v>90</v>
      </c>
      <c r="E8" s="21" t="s">
        <v>2</v>
      </c>
      <c r="F8" s="24">
        <f>FV(taxa,periodo,aporte)*(-1)</f>
        <v>65534.764559968651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2:21" s="20" customFormat="1" ht="23.25" customHeight="1" x14ac:dyDescent="0.3">
      <c r="B9" s="21" t="s">
        <v>36</v>
      </c>
      <c r="C9" s="34">
        <v>46063</v>
      </c>
      <c r="E9" s="21" t="s">
        <v>35</v>
      </c>
      <c r="F9" s="23">
        <f>EDATE(data_inicial,periodo)</f>
        <v>48801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2:21" s="20" customFormat="1" ht="23.25" customHeight="1" x14ac:dyDescent="0.3"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3" spans="2:21" ht="27" customHeight="1" x14ac:dyDescent="0.25">
      <c r="B13" s="38" t="s">
        <v>6</v>
      </c>
      <c r="C13" s="38"/>
      <c r="D13" s="38"/>
      <c r="E13" s="38"/>
      <c r="F13" s="38"/>
    </row>
    <row r="14" spans="2:21" ht="21.75" customHeight="1" x14ac:dyDescent="0.25">
      <c r="B14" s="31" t="s">
        <v>39</v>
      </c>
      <c r="C14" s="39" t="s">
        <v>7</v>
      </c>
      <c r="D14" s="39"/>
      <c r="E14" s="39" t="s">
        <v>8</v>
      </c>
      <c r="F14" s="39"/>
    </row>
    <row r="15" spans="2:21" s="29" customFormat="1" ht="19.5" customHeight="1" x14ac:dyDescent="0.3">
      <c r="B15" s="19">
        <v>24</v>
      </c>
      <c r="C15" s="35">
        <f t="shared" ref="C15:C20" si="0">FV(taxa,B15,aporte)*(-1)</f>
        <v>13171.577555559783</v>
      </c>
      <c r="D15" s="35"/>
      <c r="E15" s="36">
        <f t="shared" ref="E15:E20" si="1">C15*taxa</f>
        <v>105.37262044447827</v>
      </c>
      <c r="F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</row>
    <row r="16" spans="2:21" s="29" customFormat="1" ht="19.5" customHeight="1" x14ac:dyDescent="0.3">
      <c r="B16" s="19">
        <v>36</v>
      </c>
      <c r="C16" s="35">
        <f t="shared" si="0"/>
        <v>20764.364798924751</v>
      </c>
      <c r="D16" s="35"/>
      <c r="E16" s="36">
        <f t="shared" si="1"/>
        <v>166.11491839139802</v>
      </c>
      <c r="F16" s="36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</row>
    <row r="17" spans="2:21" s="29" customFormat="1" ht="19.5" customHeight="1" x14ac:dyDescent="0.3">
      <c r="B17" s="19">
        <v>60</v>
      </c>
      <c r="C17" s="35">
        <f t="shared" si="0"/>
        <v>38311.933415940111</v>
      </c>
      <c r="D17" s="35"/>
      <c r="E17" s="36">
        <f t="shared" si="1"/>
        <v>306.49546732752088</v>
      </c>
      <c r="F17" s="36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</row>
    <row r="18" spans="2:21" s="29" customFormat="1" ht="19.5" customHeight="1" x14ac:dyDescent="0.3">
      <c r="B18" s="19">
        <v>120</v>
      </c>
      <c r="C18" s="35">
        <f t="shared" si="0"/>
        <v>100108.73470495906</v>
      </c>
      <c r="D18" s="35"/>
      <c r="E18" s="36">
        <f t="shared" si="1"/>
        <v>800.8698776396725</v>
      </c>
      <c r="F18" s="36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</row>
    <row r="19" spans="2:21" s="29" customFormat="1" ht="19.5" customHeight="1" x14ac:dyDescent="0.3">
      <c r="B19" s="19">
        <v>240</v>
      </c>
      <c r="C19" s="35">
        <f t="shared" si="0"/>
        <v>360565.60963756416</v>
      </c>
      <c r="D19" s="35"/>
      <c r="E19" s="36">
        <f t="shared" si="1"/>
        <v>2884.5248771005135</v>
      </c>
      <c r="F19" s="36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</row>
    <row r="20" spans="2:21" s="29" customFormat="1" ht="19.5" customHeight="1" x14ac:dyDescent="0.3">
      <c r="B20" s="19">
        <v>360</v>
      </c>
      <c r="C20" s="35">
        <f t="shared" si="0"/>
        <v>1038206.6156855426</v>
      </c>
      <c r="D20" s="35"/>
      <c r="E20" s="36">
        <f t="shared" si="1"/>
        <v>8305.6529254843408</v>
      </c>
      <c r="F20" s="36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spans="2:21" x14ac:dyDescent="0.25">
      <c r="C21" s="16"/>
    </row>
    <row r="22" spans="2:21" x14ac:dyDescent="0.25">
      <c r="C22" s="16"/>
    </row>
    <row r="23" spans="2:21" x14ac:dyDescent="0.25">
      <c r="C23" s="16"/>
    </row>
    <row r="24" spans="2:21" x14ac:dyDescent="0.25">
      <c r="C24" s="16"/>
    </row>
    <row r="25" spans="2:21" x14ac:dyDescent="0.25">
      <c r="C25" s="16"/>
    </row>
    <row r="26" spans="2:21" x14ac:dyDescent="0.25">
      <c r="C26" s="16"/>
    </row>
    <row r="27" spans="2:21" x14ac:dyDescent="0.25">
      <c r="C27" s="16"/>
    </row>
    <row r="28" spans="2:21" x14ac:dyDescent="0.25">
      <c r="C28" s="16"/>
    </row>
    <row r="29" spans="2:21" x14ac:dyDescent="0.25">
      <c r="C29" s="16"/>
    </row>
    <row r="30" spans="2:21" x14ac:dyDescent="0.25">
      <c r="C30" s="16"/>
    </row>
    <row r="31" spans="2:21" x14ac:dyDescent="0.25">
      <c r="C31" s="16"/>
    </row>
    <row r="32" spans="2:21" x14ac:dyDescent="0.25">
      <c r="C32" s="16"/>
    </row>
    <row r="33" spans="3:3" x14ac:dyDescent="0.25">
      <c r="C33" s="16"/>
    </row>
    <row r="34" spans="3:3" x14ac:dyDescent="0.25">
      <c r="C34" s="16"/>
    </row>
    <row r="35" spans="3:3" x14ac:dyDescent="0.25">
      <c r="C35" s="16"/>
    </row>
    <row r="36" spans="3:3" x14ac:dyDescent="0.25">
      <c r="C36" s="16"/>
    </row>
    <row r="37" spans="3:3" x14ac:dyDescent="0.25">
      <c r="C37" s="16"/>
    </row>
    <row r="38" spans="3:3" x14ac:dyDescent="0.25">
      <c r="C38" s="16"/>
    </row>
    <row r="39" spans="3:3" x14ac:dyDescent="0.25">
      <c r="C39" s="16"/>
    </row>
    <row r="40" spans="3:3" x14ac:dyDescent="0.25">
      <c r="C40" s="16"/>
    </row>
    <row r="41" spans="3:3" x14ac:dyDescent="0.25">
      <c r="C41" s="16"/>
    </row>
    <row r="42" spans="3:3" x14ac:dyDescent="0.25">
      <c r="C42" s="16"/>
    </row>
    <row r="43" spans="3:3" x14ac:dyDescent="0.25">
      <c r="C43" s="16"/>
    </row>
    <row r="44" spans="3:3" x14ac:dyDescent="0.25">
      <c r="C44" s="16"/>
    </row>
    <row r="45" spans="3:3" s="25" customFormat="1" x14ac:dyDescent="0.25">
      <c r="C45" s="27"/>
    </row>
    <row r="46" spans="3:3" s="25" customFormat="1" x14ac:dyDescent="0.25">
      <c r="C46" s="27"/>
    </row>
    <row r="47" spans="3:3" s="25" customFormat="1" x14ac:dyDescent="0.25">
      <c r="C47" s="27"/>
    </row>
    <row r="48" spans="3:3" s="25" customFormat="1" x14ac:dyDescent="0.25">
      <c r="C48" s="27"/>
    </row>
    <row r="49" spans="3:3" s="25" customFormat="1" x14ac:dyDescent="0.25">
      <c r="C49" s="27"/>
    </row>
    <row r="50" spans="3:3" s="25" customFormat="1" x14ac:dyDescent="0.25">
      <c r="C50" s="27"/>
    </row>
    <row r="51" spans="3:3" s="25" customFormat="1" x14ac:dyDescent="0.25">
      <c r="C51" s="27"/>
    </row>
    <row r="52" spans="3:3" s="25" customFormat="1" x14ac:dyDescent="0.25">
      <c r="C52" s="27"/>
    </row>
    <row r="53" spans="3:3" s="25" customFormat="1" x14ac:dyDescent="0.25">
      <c r="C53" s="27"/>
    </row>
    <row r="54" spans="3:3" s="25" customFormat="1" x14ac:dyDescent="0.25">
      <c r="C54" s="27"/>
    </row>
    <row r="55" spans="3:3" s="25" customFormat="1" x14ac:dyDescent="0.25">
      <c r="C55" s="27"/>
    </row>
    <row r="56" spans="3:3" s="25" customFormat="1" x14ac:dyDescent="0.25">
      <c r="C56" s="27"/>
    </row>
    <row r="57" spans="3:3" s="25" customFormat="1" x14ac:dyDescent="0.25">
      <c r="C57" s="27"/>
    </row>
    <row r="58" spans="3:3" s="25" customFormat="1" x14ac:dyDescent="0.25">
      <c r="C58" s="27"/>
    </row>
    <row r="59" spans="3:3" s="25" customFormat="1" x14ac:dyDescent="0.25">
      <c r="C59" s="27"/>
    </row>
    <row r="60" spans="3:3" s="25" customFormat="1" x14ac:dyDescent="0.25">
      <c r="C60" s="27"/>
    </row>
    <row r="61" spans="3:3" s="25" customFormat="1" x14ac:dyDescent="0.25">
      <c r="C61" s="27"/>
    </row>
    <row r="62" spans="3:3" s="25" customFormat="1" x14ac:dyDescent="0.25">
      <c r="C62" s="27"/>
    </row>
    <row r="63" spans="3:3" s="25" customFormat="1" x14ac:dyDescent="0.25">
      <c r="C63" s="27"/>
    </row>
    <row r="64" spans="3:3" s="25" customFormat="1" x14ac:dyDescent="0.25">
      <c r="C64" s="27"/>
    </row>
    <row r="65" spans="3:3" s="25" customFormat="1" x14ac:dyDescent="0.25">
      <c r="C65" s="27"/>
    </row>
    <row r="66" spans="3:3" s="25" customFormat="1" x14ac:dyDescent="0.25">
      <c r="C66" s="27"/>
    </row>
    <row r="67" spans="3:3" s="25" customFormat="1" x14ac:dyDescent="0.25">
      <c r="C67" s="27"/>
    </row>
    <row r="68" spans="3:3" s="25" customFormat="1" x14ac:dyDescent="0.25">
      <c r="C68" s="27"/>
    </row>
    <row r="69" spans="3:3" s="25" customFormat="1" x14ac:dyDescent="0.25">
      <c r="C69" s="27"/>
    </row>
    <row r="70" spans="3:3" s="25" customFormat="1" x14ac:dyDescent="0.25">
      <c r="C70" s="27"/>
    </row>
    <row r="71" spans="3:3" s="25" customFormat="1" x14ac:dyDescent="0.25">
      <c r="C71" s="27"/>
    </row>
    <row r="72" spans="3:3" s="25" customFormat="1" x14ac:dyDescent="0.25">
      <c r="C72" s="27"/>
    </row>
    <row r="73" spans="3:3" s="25" customFormat="1" x14ac:dyDescent="0.25">
      <c r="C73" s="27"/>
    </row>
    <row r="74" spans="3:3" s="25" customFormat="1" x14ac:dyDescent="0.25">
      <c r="C74" s="27"/>
    </row>
    <row r="75" spans="3:3" s="25" customFormat="1" x14ac:dyDescent="0.25">
      <c r="C75" s="27"/>
    </row>
    <row r="76" spans="3:3" s="25" customFormat="1" x14ac:dyDescent="0.25">
      <c r="C76" s="27"/>
    </row>
    <row r="77" spans="3:3" s="25" customFormat="1" x14ac:dyDescent="0.25"/>
    <row r="78" spans="3:3" s="25" customFormat="1" x14ac:dyDescent="0.25"/>
    <row r="79" spans="3:3" s="25" customFormat="1" x14ac:dyDescent="0.25"/>
    <row r="80" spans="3:3" s="25" customFormat="1" x14ac:dyDescent="0.25"/>
    <row r="81" s="25" customFormat="1" x14ac:dyDescent="0.25"/>
    <row r="82" s="25" customFormat="1" x14ac:dyDescent="0.25"/>
    <row r="83" s="25" customFormat="1" x14ac:dyDescent="0.25"/>
    <row r="84" s="25" customFormat="1" x14ac:dyDescent="0.25"/>
    <row r="85" s="25" customFormat="1" x14ac:dyDescent="0.25"/>
    <row r="86" s="25" customFormat="1" x14ac:dyDescent="0.25"/>
    <row r="87" s="25" customFormat="1" x14ac:dyDescent="0.25"/>
    <row r="88" s="25" customFormat="1" x14ac:dyDescent="0.25"/>
    <row r="89" s="25" customFormat="1" x14ac:dyDescent="0.25"/>
    <row r="90" s="25" customFormat="1" x14ac:dyDescent="0.25"/>
    <row r="91" s="25" customFormat="1" x14ac:dyDescent="0.25"/>
  </sheetData>
  <sheetProtection sheet="1" objects="1" scenarios="1" selectLockedCells="1"/>
  <mergeCells count="18">
    <mergeCell ref="B2:F2"/>
    <mergeCell ref="B13:F13"/>
    <mergeCell ref="E14:F14"/>
    <mergeCell ref="E15:F15"/>
    <mergeCell ref="C14:D14"/>
    <mergeCell ref="C15:D15"/>
    <mergeCell ref="E5:F5"/>
    <mergeCell ref="B5:C5"/>
    <mergeCell ref="E16:F16"/>
    <mergeCell ref="E17:F17"/>
    <mergeCell ref="E18:F18"/>
    <mergeCell ref="E19:F19"/>
    <mergeCell ref="E20:F20"/>
    <mergeCell ref="C16:D16"/>
    <mergeCell ref="C17:D17"/>
    <mergeCell ref="C18:D18"/>
    <mergeCell ref="C19:D19"/>
    <mergeCell ref="C20:D2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C64657-8D9D-444A-A248-F2D0E11E8CE9}">
          <x14:formula1>
            <xm:f>'Fundos Imobiliarios'!$A$4:$A$11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3C79-E4D1-41B6-B77E-18E8E9441A90}">
  <dimension ref="A1:F239"/>
  <sheetViews>
    <sheetView workbookViewId="0">
      <selection activeCell="F62" sqref="F62"/>
    </sheetView>
  </sheetViews>
  <sheetFormatPr defaultRowHeight="14.4" x14ac:dyDescent="0.3"/>
  <cols>
    <col min="2" max="2" width="20.109375" customWidth="1"/>
    <col min="3" max="3" width="23" customWidth="1"/>
    <col min="4" max="6" width="25.33203125" customWidth="1"/>
  </cols>
  <sheetData>
    <row r="1" spans="1:6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37</v>
      </c>
    </row>
    <row r="2" spans="1:6" x14ac:dyDescent="0.3">
      <c r="A2" s="2">
        <f>IF(ROW(A2)&lt;=periodo+1, ROW(A2)-1, "")</f>
        <v>1</v>
      </c>
      <c r="B2" s="17">
        <f t="shared" ref="B2:B65" si="0">IF($A2="","",aporte)</f>
        <v>500</v>
      </c>
      <c r="C2" s="17">
        <f>IF($A2="","",IF($A2=1,0,#REF!))</f>
        <v>0</v>
      </c>
      <c r="D2" s="17">
        <f t="shared" ref="D2:D65" si="1">IF($A2="","",C2*taxa)</f>
        <v>0</v>
      </c>
      <c r="E2" s="17">
        <f t="shared" ref="E2:E65" si="2">IF($A2="","",(C2+B2)+D2)</f>
        <v>500</v>
      </c>
      <c r="F2" s="18">
        <f>IF($A2="","",EDATE(data_inicial,Tabela2[[#This Row],[Mês]]))</f>
        <v>46091</v>
      </c>
    </row>
    <row r="3" spans="1:6" x14ac:dyDescent="0.3">
      <c r="A3" s="2">
        <f>IF(ROW(A3)&lt;=periodo+1, ROW(A3)-1, "")</f>
        <v>2</v>
      </c>
      <c r="B3" s="17">
        <f t="shared" si="0"/>
        <v>500</v>
      </c>
      <c r="C3" s="17">
        <f t="shared" ref="C3:C66" si="3">IF($A3="","",IF($A3=1,0,E2))</f>
        <v>500</v>
      </c>
      <c r="D3" s="17">
        <f t="shared" si="1"/>
        <v>4</v>
      </c>
      <c r="E3" s="17">
        <f t="shared" si="2"/>
        <v>1004</v>
      </c>
      <c r="F3" s="18">
        <f>IF($A3="","",EDATE(data_inicial,Tabela2[[#This Row],[Mês]]))</f>
        <v>46122</v>
      </c>
    </row>
    <row r="4" spans="1:6" x14ac:dyDescent="0.3">
      <c r="A4" s="2">
        <f>IF(ROW(A4)&lt;=periodo+1, ROW(A4)-1, "")</f>
        <v>3</v>
      </c>
      <c r="B4" s="17">
        <f t="shared" si="0"/>
        <v>500</v>
      </c>
      <c r="C4" s="17">
        <f t="shared" si="3"/>
        <v>1004</v>
      </c>
      <c r="D4" s="17">
        <f t="shared" si="1"/>
        <v>8.032</v>
      </c>
      <c r="E4" s="17">
        <f t="shared" si="2"/>
        <v>1512.0319999999999</v>
      </c>
      <c r="F4" s="18">
        <f>IF($A4="","",EDATE(data_inicial,Tabela2[[#This Row],[Mês]]))</f>
        <v>46152</v>
      </c>
    </row>
    <row r="5" spans="1:6" x14ac:dyDescent="0.3">
      <c r="A5" s="2">
        <f>IF(ROW(A5)&lt;=periodo+1, ROW(A5)-1, "")</f>
        <v>4</v>
      </c>
      <c r="B5" s="17">
        <f t="shared" si="0"/>
        <v>500</v>
      </c>
      <c r="C5" s="17">
        <f t="shared" si="3"/>
        <v>1512.0319999999999</v>
      </c>
      <c r="D5" s="17">
        <f t="shared" si="1"/>
        <v>12.096256</v>
      </c>
      <c r="E5" s="17">
        <f t="shared" si="2"/>
        <v>2024.128256</v>
      </c>
      <c r="F5" s="18">
        <f>IF($A5="","",EDATE(data_inicial,Tabela2[[#This Row],[Mês]]))</f>
        <v>46183</v>
      </c>
    </row>
    <row r="6" spans="1:6" x14ac:dyDescent="0.3">
      <c r="A6" s="2">
        <f>IF(ROW(A6)&lt;=periodo+1, ROW(A6)-1, "")</f>
        <v>5</v>
      </c>
      <c r="B6" s="17">
        <f t="shared" si="0"/>
        <v>500</v>
      </c>
      <c r="C6" s="17">
        <f t="shared" si="3"/>
        <v>2024.128256</v>
      </c>
      <c r="D6" s="17">
        <f t="shared" si="1"/>
        <v>16.193026048</v>
      </c>
      <c r="E6" s="17">
        <f t="shared" si="2"/>
        <v>2540.3212820479998</v>
      </c>
      <c r="F6" s="18">
        <f>IF($A6="","",EDATE(data_inicial,Tabela2[[#This Row],[Mês]]))</f>
        <v>46213</v>
      </c>
    </row>
    <row r="7" spans="1:6" x14ac:dyDescent="0.3">
      <c r="A7" s="2">
        <f>IF(ROW(A7)&lt;=periodo+1, ROW(A7)-1, "")</f>
        <v>6</v>
      </c>
      <c r="B7" s="17">
        <f t="shared" si="0"/>
        <v>500</v>
      </c>
      <c r="C7" s="17">
        <f t="shared" si="3"/>
        <v>2540.3212820479998</v>
      </c>
      <c r="D7" s="17">
        <f t="shared" si="1"/>
        <v>20.322570256383997</v>
      </c>
      <c r="E7" s="17">
        <f t="shared" si="2"/>
        <v>3060.6438523043839</v>
      </c>
      <c r="F7" s="18">
        <f>IF($A7="","",EDATE(data_inicial,Tabela2[[#This Row],[Mês]]))</f>
        <v>46244</v>
      </c>
    </row>
    <row r="8" spans="1:6" x14ac:dyDescent="0.3">
      <c r="A8" s="2">
        <f>IF(ROW(A8)&lt;=periodo+1, ROW(A8)-1, "")</f>
        <v>7</v>
      </c>
      <c r="B8" s="17">
        <f t="shared" si="0"/>
        <v>500</v>
      </c>
      <c r="C8" s="17">
        <f t="shared" si="3"/>
        <v>3060.6438523043839</v>
      </c>
      <c r="D8" s="17">
        <f t="shared" si="1"/>
        <v>24.485150818435073</v>
      </c>
      <c r="E8" s="17">
        <f t="shared" si="2"/>
        <v>3585.1290031228191</v>
      </c>
      <c r="F8" s="18">
        <f>IF($A8="","",EDATE(data_inicial,Tabela2[[#This Row],[Mês]]))</f>
        <v>46275</v>
      </c>
    </row>
    <row r="9" spans="1:6" x14ac:dyDescent="0.3">
      <c r="A9" s="2">
        <f>IF(ROW(A9)&lt;=periodo+1, ROW(A9)-1, "")</f>
        <v>8</v>
      </c>
      <c r="B9" s="17">
        <f t="shared" si="0"/>
        <v>500</v>
      </c>
      <c r="C9" s="17">
        <f t="shared" si="3"/>
        <v>3585.1290031228191</v>
      </c>
      <c r="D9" s="17">
        <f t="shared" si="1"/>
        <v>28.681032024982553</v>
      </c>
      <c r="E9" s="17">
        <f t="shared" si="2"/>
        <v>4113.8100351478015</v>
      </c>
      <c r="F9" s="18">
        <f>IF($A9="","",EDATE(data_inicial,Tabela2[[#This Row],[Mês]]))</f>
        <v>46305</v>
      </c>
    </row>
    <row r="10" spans="1:6" x14ac:dyDescent="0.3">
      <c r="A10" s="2">
        <f>IF(ROW(A10)&lt;=periodo+1, ROW(A10)-1, "")</f>
        <v>9</v>
      </c>
      <c r="B10" s="17">
        <f t="shared" si="0"/>
        <v>500</v>
      </c>
      <c r="C10" s="17">
        <f t="shared" si="3"/>
        <v>4113.8100351478015</v>
      </c>
      <c r="D10" s="17">
        <f t="shared" si="1"/>
        <v>32.910480281182416</v>
      </c>
      <c r="E10" s="17">
        <f t="shared" si="2"/>
        <v>4646.7205154289841</v>
      </c>
      <c r="F10" s="18">
        <f>IF($A10="","",EDATE(data_inicial,Tabela2[[#This Row],[Mês]]))</f>
        <v>46336</v>
      </c>
    </row>
    <row r="11" spans="1:6" x14ac:dyDescent="0.3">
      <c r="A11" s="2">
        <f>IF(ROW(A11)&lt;=periodo+1, ROW(A11)-1, "")</f>
        <v>10</v>
      </c>
      <c r="B11" s="17">
        <f t="shared" si="0"/>
        <v>500</v>
      </c>
      <c r="C11" s="17">
        <f t="shared" si="3"/>
        <v>4646.7205154289841</v>
      </c>
      <c r="D11" s="17">
        <f t="shared" si="1"/>
        <v>37.173764123431873</v>
      </c>
      <c r="E11" s="17">
        <f t="shared" si="2"/>
        <v>5183.8942795524163</v>
      </c>
      <c r="F11" s="18">
        <f>IF($A11="","",EDATE(data_inicial,Tabela2[[#This Row],[Mês]]))</f>
        <v>46366</v>
      </c>
    </row>
    <row r="12" spans="1:6" x14ac:dyDescent="0.3">
      <c r="A12" s="2">
        <f>IF(ROW(A12)&lt;=periodo+1, ROW(A12)-1, "")</f>
        <v>11</v>
      </c>
      <c r="B12" s="17">
        <f t="shared" si="0"/>
        <v>500</v>
      </c>
      <c r="C12" s="17">
        <f t="shared" si="3"/>
        <v>5183.8942795524163</v>
      </c>
      <c r="D12" s="17">
        <f t="shared" si="1"/>
        <v>41.471154236419331</v>
      </c>
      <c r="E12" s="17">
        <f t="shared" si="2"/>
        <v>5725.3654337888356</v>
      </c>
      <c r="F12" s="18">
        <f>IF($A12="","",EDATE(data_inicial,Tabela2[[#This Row],[Mês]]))</f>
        <v>46397</v>
      </c>
    </row>
    <row r="13" spans="1:6" x14ac:dyDescent="0.3">
      <c r="A13" s="2">
        <f>IF(ROW(A13)&lt;=periodo+1, ROW(A13)-1, "")</f>
        <v>12</v>
      </c>
      <c r="B13" s="17">
        <f t="shared" si="0"/>
        <v>500</v>
      </c>
      <c r="C13" s="17">
        <f t="shared" si="3"/>
        <v>5725.3654337888356</v>
      </c>
      <c r="D13" s="17">
        <f t="shared" si="1"/>
        <v>45.802923470310688</v>
      </c>
      <c r="E13" s="17">
        <f t="shared" si="2"/>
        <v>6271.1683572591464</v>
      </c>
      <c r="F13" s="18">
        <f>IF($A13="","",EDATE(data_inicial,Tabela2[[#This Row],[Mês]]))</f>
        <v>46428</v>
      </c>
    </row>
    <row r="14" spans="1:6" x14ac:dyDescent="0.3">
      <c r="A14" s="2">
        <f>IF(ROW(A14)&lt;=periodo+1, ROW(A14)-1, "")</f>
        <v>13</v>
      </c>
      <c r="B14" s="17">
        <f t="shared" si="0"/>
        <v>500</v>
      </c>
      <c r="C14" s="17">
        <f t="shared" si="3"/>
        <v>6271.1683572591464</v>
      </c>
      <c r="D14" s="17">
        <f t="shared" si="1"/>
        <v>50.169346858073169</v>
      </c>
      <c r="E14" s="17">
        <f t="shared" si="2"/>
        <v>6821.3377041172198</v>
      </c>
      <c r="F14" s="18">
        <f>IF($A14="","",EDATE(data_inicial,Tabela2[[#This Row],[Mês]]))</f>
        <v>46456</v>
      </c>
    </row>
    <row r="15" spans="1:6" x14ac:dyDescent="0.3">
      <c r="A15" s="2">
        <f>IF(ROW(A15)&lt;=periodo+1, ROW(A15)-1, "")</f>
        <v>14</v>
      </c>
      <c r="B15" s="17">
        <f t="shared" si="0"/>
        <v>500</v>
      </c>
      <c r="C15" s="17">
        <f t="shared" si="3"/>
        <v>6821.3377041172198</v>
      </c>
      <c r="D15" s="17">
        <f t="shared" si="1"/>
        <v>54.570701632937762</v>
      </c>
      <c r="E15" s="17">
        <f t="shared" si="2"/>
        <v>7375.9084057501577</v>
      </c>
      <c r="F15" s="18">
        <f>IF($A15="","",EDATE(data_inicial,Tabela2[[#This Row],[Mês]]))</f>
        <v>46487</v>
      </c>
    </row>
    <row r="16" spans="1:6" x14ac:dyDescent="0.3">
      <c r="A16" s="2">
        <f>IF(ROW(A16)&lt;=periodo+1, ROW(A16)-1, "")</f>
        <v>15</v>
      </c>
      <c r="B16" s="17">
        <f t="shared" si="0"/>
        <v>500</v>
      </c>
      <c r="C16" s="17">
        <f t="shared" si="3"/>
        <v>7375.9084057501577</v>
      </c>
      <c r="D16" s="17">
        <f t="shared" si="1"/>
        <v>59.007267246001263</v>
      </c>
      <c r="E16" s="17">
        <f t="shared" si="2"/>
        <v>7934.9156729961587</v>
      </c>
      <c r="F16" s="18">
        <f>IF($A16="","",EDATE(data_inicial,Tabela2[[#This Row],[Mês]]))</f>
        <v>46517</v>
      </c>
    </row>
    <row r="17" spans="1:6" x14ac:dyDescent="0.3">
      <c r="A17" s="2">
        <f>IF(ROW(A17)&lt;=periodo+1, ROW(A17)-1, "")</f>
        <v>16</v>
      </c>
      <c r="B17" s="17">
        <f t="shared" si="0"/>
        <v>500</v>
      </c>
      <c r="C17" s="17">
        <f t="shared" si="3"/>
        <v>7934.9156729961587</v>
      </c>
      <c r="D17" s="17">
        <f t="shared" si="1"/>
        <v>63.479325383969268</v>
      </c>
      <c r="E17" s="17">
        <f t="shared" si="2"/>
        <v>8498.3949983801267</v>
      </c>
      <c r="F17" s="18">
        <f>IF($A17="","",EDATE(data_inicial,Tabela2[[#This Row],[Mês]]))</f>
        <v>46548</v>
      </c>
    </row>
    <row r="18" spans="1:6" x14ac:dyDescent="0.3">
      <c r="A18" s="2">
        <f>IF(ROW(A18)&lt;=periodo+1, ROW(A18)-1, "")</f>
        <v>17</v>
      </c>
      <c r="B18" s="17">
        <f t="shared" si="0"/>
        <v>500</v>
      </c>
      <c r="C18" s="17">
        <f t="shared" si="3"/>
        <v>8498.3949983801267</v>
      </c>
      <c r="D18" s="17">
        <f t="shared" si="1"/>
        <v>67.987159987041011</v>
      </c>
      <c r="E18" s="17">
        <f t="shared" si="2"/>
        <v>9066.382158367167</v>
      </c>
      <c r="F18" s="18">
        <f>IF($A18="","",EDATE(data_inicial,Tabela2[[#This Row],[Mês]]))</f>
        <v>46578</v>
      </c>
    </row>
    <row r="19" spans="1:6" x14ac:dyDescent="0.3">
      <c r="A19" s="2">
        <f>IF(ROW(A19)&lt;=periodo+1, ROW(A19)-1, "")</f>
        <v>18</v>
      </c>
      <c r="B19" s="17">
        <f t="shared" si="0"/>
        <v>500</v>
      </c>
      <c r="C19" s="17">
        <f t="shared" si="3"/>
        <v>9066.382158367167</v>
      </c>
      <c r="D19" s="17">
        <f t="shared" si="1"/>
        <v>72.531057266937339</v>
      </c>
      <c r="E19" s="17">
        <f t="shared" si="2"/>
        <v>9638.9132156341038</v>
      </c>
      <c r="F19" s="18">
        <f>IF($A19="","",EDATE(data_inicial,Tabela2[[#This Row],[Mês]]))</f>
        <v>46609</v>
      </c>
    </row>
    <row r="20" spans="1:6" x14ac:dyDescent="0.3">
      <c r="A20" s="2">
        <f>IF(ROW(A20)&lt;=periodo+1, ROW(A20)-1, "")</f>
        <v>19</v>
      </c>
      <c r="B20" s="17">
        <f t="shared" si="0"/>
        <v>500</v>
      </c>
      <c r="C20" s="17">
        <f t="shared" si="3"/>
        <v>9638.9132156341038</v>
      </c>
      <c r="D20" s="17">
        <f t="shared" si="1"/>
        <v>77.111305725072839</v>
      </c>
      <c r="E20" s="17">
        <f t="shared" si="2"/>
        <v>10216.024521359177</v>
      </c>
      <c r="F20" s="18">
        <f>IF($A20="","",EDATE(data_inicial,Tabela2[[#This Row],[Mês]]))</f>
        <v>46640</v>
      </c>
    </row>
    <row r="21" spans="1:6" x14ac:dyDescent="0.3">
      <c r="A21" s="2">
        <f>IF(ROW(A21)&lt;=periodo+1, ROW(A21)-1, "")</f>
        <v>20</v>
      </c>
      <c r="B21" s="17">
        <f t="shared" si="0"/>
        <v>500</v>
      </c>
      <c r="C21" s="17">
        <f t="shared" si="3"/>
        <v>10216.024521359177</v>
      </c>
      <c r="D21" s="17">
        <f t="shared" si="1"/>
        <v>81.728196170873417</v>
      </c>
      <c r="E21" s="17">
        <f t="shared" si="2"/>
        <v>10797.752717530051</v>
      </c>
      <c r="F21" s="18">
        <f>IF($A21="","",EDATE(data_inicial,Tabela2[[#This Row],[Mês]]))</f>
        <v>46670</v>
      </c>
    </row>
    <row r="22" spans="1:6" x14ac:dyDescent="0.3">
      <c r="A22" s="2">
        <f>IF(ROW(A22)&lt;=periodo+1, ROW(A22)-1, "")</f>
        <v>21</v>
      </c>
      <c r="B22" s="17">
        <f t="shared" si="0"/>
        <v>500</v>
      </c>
      <c r="C22" s="17">
        <f t="shared" si="3"/>
        <v>10797.752717530051</v>
      </c>
      <c r="D22" s="17">
        <f t="shared" si="1"/>
        <v>86.382021740240404</v>
      </c>
      <c r="E22" s="17">
        <f t="shared" si="2"/>
        <v>11384.134739270292</v>
      </c>
      <c r="F22" s="18">
        <f>IF($A22="","",EDATE(data_inicial,Tabela2[[#This Row],[Mês]]))</f>
        <v>46701</v>
      </c>
    </row>
    <row r="23" spans="1:6" x14ac:dyDescent="0.3">
      <c r="A23" s="2">
        <f>IF(ROW(A23)&lt;=periodo+1, ROW(A23)-1, "")</f>
        <v>22</v>
      </c>
      <c r="B23" s="17">
        <f t="shared" si="0"/>
        <v>500</v>
      </c>
      <c r="C23" s="17">
        <f t="shared" si="3"/>
        <v>11384.134739270292</v>
      </c>
      <c r="D23" s="17">
        <f t="shared" si="1"/>
        <v>91.07307791416234</v>
      </c>
      <c r="E23" s="17">
        <f t="shared" si="2"/>
        <v>11975.207817184455</v>
      </c>
      <c r="F23" s="18">
        <f>IF($A23="","",EDATE(data_inicial,Tabela2[[#This Row],[Mês]]))</f>
        <v>46731</v>
      </c>
    </row>
    <row r="24" spans="1:6" x14ac:dyDescent="0.3">
      <c r="A24" s="2">
        <f>IF(ROW(A24)&lt;=periodo+1, ROW(A24)-1, "")</f>
        <v>23</v>
      </c>
      <c r="B24" s="17">
        <f t="shared" si="0"/>
        <v>500</v>
      </c>
      <c r="C24" s="17">
        <f t="shared" si="3"/>
        <v>11975.207817184455</v>
      </c>
      <c r="D24" s="17">
        <f t="shared" si="1"/>
        <v>95.801662537475636</v>
      </c>
      <c r="E24" s="17">
        <f t="shared" si="2"/>
        <v>12571.00947972193</v>
      </c>
      <c r="F24" s="18">
        <f>IF($A24="","",EDATE(data_inicial,Tabela2[[#This Row],[Mês]]))</f>
        <v>46762</v>
      </c>
    </row>
    <row r="25" spans="1:6" x14ac:dyDescent="0.3">
      <c r="A25" s="2">
        <f>IF(ROW(A25)&lt;=periodo+1, ROW(A25)-1, "")</f>
        <v>24</v>
      </c>
      <c r="B25" s="17">
        <f t="shared" si="0"/>
        <v>500</v>
      </c>
      <c r="C25" s="17">
        <f t="shared" si="3"/>
        <v>12571.00947972193</v>
      </c>
      <c r="D25" s="17">
        <f t="shared" si="1"/>
        <v>100.56807583777544</v>
      </c>
      <c r="E25" s="17">
        <f t="shared" si="2"/>
        <v>13171.577555559705</v>
      </c>
      <c r="F25" s="18">
        <f>IF($A25="","",EDATE(data_inicial,Tabela2[[#This Row],[Mês]]))</f>
        <v>46793</v>
      </c>
    </row>
    <row r="26" spans="1:6" x14ac:dyDescent="0.3">
      <c r="A26" s="2">
        <f>IF(ROW(A26)&lt;=periodo+1, ROW(A26)-1, "")</f>
        <v>25</v>
      </c>
      <c r="B26" s="17">
        <f t="shared" si="0"/>
        <v>500</v>
      </c>
      <c r="C26" s="17">
        <f t="shared" si="3"/>
        <v>13171.577555559705</v>
      </c>
      <c r="D26" s="17">
        <f t="shared" si="1"/>
        <v>105.37262044447763</v>
      </c>
      <c r="E26" s="17">
        <f t="shared" si="2"/>
        <v>13776.950176004182</v>
      </c>
      <c r="F26" s="18">
        <f>IF($A26="","",EDATE(data_inicial,Tabela2[[#This Row],[Mês]]))</f>
        <v>46822</v>
      </c>
    </row>
    <row r="27" spans="1:6" x14ac:dyDescent="0.3">
      <c r="A27" s="2">
        <f>IF(ROW(A27)&lt;=periodo+1, ROW(A27)-1, "")</f>
        <v>26</v>
      </c>
      <c r="B27" s="17">
        <f t="shared" si="0"/>
        <v>500</v>
      </c>
      <c r="C27" s="17">
        <f t="shared" si="3"/>
        <v>13776.950176004182</v>
      </c>
      <c r="D27" s="17">
        <f t="shared" si="1"/>
        <v>110.21560140803346</v>
      </c>
      <c r="E27" s="17">
        <f t="shared" si="2"/>
        <v>14387.165777412216</v>
      </c>
      <c r="F27" s="18">
        <f>IF($A27="","",EDATE(data_inicial,Tabela2[[#This Row],[Mês]]))</f>
        <v>46853</v>
      </c>
    </row>
    <row r="28" spans="1:6" x14ac:dyDescent="0.3">
      <c r="A28" s="2">
        <f>IF(ROW(A28)&lt;=periodo+1, ROW(A28)-1, "")</f>
        <v>27</v>
      </c>
      <c r="B28" s="17">
        <f t="shared" si="0"/>
        <v>500</v>
      </c>
      <c r="C28" s="17">
        <f t="shared" si="3"/>
        <v>14387.165777412216</v>
      </c>
      <c r="D28" s="17">
        <f t="shared" si="1"/>
        <v>115.09732621929773</v>
      </c>
      <c r="E28" s="17">
        <f t="shared" si="2"/>
        <v>15002.263103631514</v>
      </c>
      <c r="F28" s="18">
        <f>IF($A28="","",EDATE(data_inicial,Tabela2[[#This Row],[Mês]]))</f>
        <v>46883</v>
      </c>
    </row>
    <row r="29" spans="1:6" x14ac:dyDescent="0.3">
      <c r="A29" s="2">
        <f>IF(ROW(A29)&lt;=periodo+1, ROW(A29)-1, "")</f>
        <v>28</v>
      </c>
      <c r="B29" s="17">
        <f t="shared" si="0"/>
        <v>500</v>
      </c>
      <c r="C29" s="17">
        <f t="shared" si="3"/>
        <v>15002.263103631514</v>
      </c>
      <c r="D29" s="17">
        <f t="shared" si="1"/>
        <v>120.01810482905212</v>
      </c>
      <c r="E29" s="17">
        <f t="shared" si="2"/>
        <v>15622.281208460567</v>
      </c>
      <c r="F29" s="18">
        <f>IF($A29="","",EDATE(data_inicial,Tabela2[[#This Row],[Mês]]))</f>
        <v>46914</v>
      </c>
    </row>
    <row r="30" spans="1:6" x14ac:dyDescent="0.3">
      <c r="A30" s="2">
        <f>IF(ROW(A30)&lt;=periodo+1, ROW(A30)-1, "")</f>
        <v>29</v>
      </c>
      <c r="B30" s="17">
        <f t="shared" si="0"/>
        <v>500</v>
      </c>
      <c r="C30" s="17">
        <f t="shared" si="3"/>
        <v>15622.281208460567</v>
      </c>
      <c r="D30" s="17">
        <f t="shared" si="1"/>
        <v>124.97824966768454</v>
      </c>
      <c r="E30" s="17">
        <f t="shared" si="2"/>
        <v>16247.259458128252</v>
      </c>
      <c r="F30" s="18">
        <f>IF($A30="","",EDATE(data_inicial,Tabela2[[#This Row],[Mês]]))</f>
        <v>46944</v>
      </c>
    </row>
    <row r="31" spans="1:6" x14ac:dyDescent="0.3">
      <c r="A31" s="2">
        <f>IF(ROW(A31)&lt;=periodo+1, ROW(A31)-1, "")</f>
        <v>30</v>
      </c>
      <c r="B31" s="17">
        <f t="shared" si="0"/>
        <v>500</v>
      </c>
      <c r="C31" s="17">
        <f t="shared" si="3"/>
        <v>16247.259458128252</v>
      </c>
      <c r="D31" s="17">
        <f t="shared" si="1"/>
        <v>129.97807566502601</v>
      </c>
      <c r="E31" s="17">
        <f t="shared" si="2"/>
        <v>16877.237533793279</v>
      </c>
      <c r="F31" s="18">
        <f>IF($A31="","",EDATE(data_inicial,Tabela2[[#This Row],[Mês]]))</f>
        <v>46975</v>
      </c>
    </row>
    <row r="32" spans="1:6" x14ac:dyDescent="0.3">
      <c r="A32" s="2">
        <f>IF(ROW(A32)&lt;=periodo+1, ROW(A32)-1, "")</f>
        <v>31</v>
      </c>
      <c r="B32" s="17">
        <f t="shared" si="0"/>
        <v>500</v>
      </c>
      <c r="C32" s="17">
        <f t="shared" si="3"/>
        <v>16877.237533793279</v>
      </c>
      <c r="D32" s="17">
        <f t="shared" si="1"/>
        <v>135.01790027034625</v>
      </c>
      <c r="E32" s="17">
        <f t="shared" si="2"/>
        <v>17512.255434063627</v>
      </c>
      <c r="F32" s="18">
        <f>IF($A32="","",EDATE(data_inicial,Tabela2[[#This Row],[Mês]]))</f>
        <v>47006</v>
      </c>
    </row>
    <row r="33" spans="1:6" x14ac:dyDescent="0.3">
      <c r="A33" s="2">
        <f>IF(ROW(A33)&lt;=periodo+1, ROW(A33)-1, "")</f>
        <v>32</v>
      </c>
      <c r="B33" s="17">
        <f t="shared" si="0"/>
        <v>500</v>
      </c>
      <c r="C33" s="17">
        <f t="shared" si="3"/>
        <v>17512.255434063627</v>
      </c>
      <c r="D33" s="17">
        <f t="shared" si="1"/>
        <v>140.09804347250903</v>
      </c>
      <c r="E33" s="17">
        <f t="shared" si="2"/>
        <v>18152.353477536137</v>
      </c>
      <c r="F33" s="18">
        <f>IF($A33="","",EDATE(data_inicial,Tabela2[[#This Row],[Mês]]))</f>
        <v>47036</v>
      </c>
    </row>
    <row r="34" spans="1:6" x14ac:dyDescent="0.3">
      <c r="A34" s="2">
        <f>IF(ROW(A34)&lt;=periodo+1, ROW(A34)-1, "")</f>
        <v>33</v>
      </c>
      <c r="B34" s="17">
        <f t="shared" si="0"/>
        <v>500</v>
      </c>
      <c r="C34" s="17">
        <f t="shared" si="3"/>
        <v>18152.353477536137</v>
      </c>
      <c r="D34" s="17">
        <f t="shared" si="1"/>
        <v>145.21882782028911</v>
      </c>
      <c r="E34" s="17">
        <f t="shared" si="2"/>
        <v>18797.572305356425</v>
      </c>
      <c r="F34" s="18">
        <f>IF($A34="","",EDATE(data_inicial,Tabela2[[#This Row],[Mês]]))</f>
        <v>47067</v>
      </c>
    </row>
    <row r="35" spans="1:6" x14ac:dyDescent="0.3">
      <c r="A35" s="2">
        <f>IF(ROW(A35)&lt;=periodo+1, ROW(A35)-1, "")</f>
        <v>34</v>
      </c>
      <c r="B35" s="17">
        <f t="shared" si="0"/>
        <v>500</v>
      </c>
      <c r="C35" s="17">
        <f t="shared" si="3"/>
        <v>18797.572305356425</v>
      </c>
      <c r="D35" s="17">
        <f t="shared" si="1"/>
        <v>150.3805784428514</v>
      </c>
      <c r="E35" s="17">
        <f t="shared" si="2"/>
        <v>19447.952883799277</v>
      </c>
      <c r="F35" s="18">
        <f>IF($A35="","",EDATE(data_inicial,Tabela2[[#This Row],[Mês]]))</f>
        <v>47097</v>
      </c>
    </row>
    <row r="36" spans="1:6" x14ac:dyDescent="0.3">
      <c r="A36" s="2">
        <f>IF(ROW(A36)&lt;=periodo+1, ROW(A36)-1, "")</f>
        <v>35</v>
      </c>
      <c r="B36" s="17">
        <f t="shared" si="0"/>
        <v>500</v>
      </c>
      <c r="C36" s="17">
        <f t="shared" si="3"/>
        <v>19447.952883799277</v>
      </c>
      <c r="D36" s="17">
        <f t="shared" si="1"/>
        <v>155.58362307039422</v>
      </c>
      <c r="E36" s="17">
        <f t="shared" si="2"/>
        <v>20103.53650686967</v>
      </c>
      <c r="F36" s="18">
        <f>IF($A36="","",EDATE(data_inicial,Tabela2[[#This Row],[Mês]]))</f>
        <v>47128</v>
      </c>
    </row>
    <row r="37" spans="1:6" x14ac:dyDescent="0.3">
      <c r="A37" s="2">
        <f>IF(ROW(A37)&lt;=periodo+1, ROW(A37)-1, "")</f>
        <v>36</v>
      </c>
      <c r="B37" s="17">
        <f t="shared" si="0"/>
        <v>500</v>
      </c>
      <c r="C37" s="17">
        <f t="shared" si="3"/>
        <v>20103.53650686967</v>
      </c>
      <c r="D37" s="17">
        <f t="shared" si="1"/>
        <v>160.82829205495736</v>
      </c>
      <c r="E37" s="17">
        <f t="shared" si="2"/>
        <v>20764.364798924627</v>
      </c>
      <c r="F37" s="18">
        <f>IF($A37="","",EDATE(data_inicial,Tabela2[[#This Row],[Mês]]))</f>
        <v>47159</v>
      </c>
    </row>
    <row r="38" spans="1:6" x14ac:dyDescent="0.3">
      <c r="A38" s="2">
        <f>IF(ROW(A38)&lt;=periodo+1, ROW(A38)-1, "")</f>
        <v>37</v>
      </c>
      <c r="B38" s="17">
        <f t="shared" si="0"/>
        <v>500</v>
      </c>
      <c r="C38" s="17">
        <f t="shared" si="3"/>
        <v>20764.364798924627</v>
      </c>
      <c r="D38" s="17">
        <f t="shared" si="1"/>
        <v>166.11491839139703</v>
      </c>
      <c r="E38" s="17">
        <f t="shared" si="2"/>
        <v>21430.479717316026</v>
      </c>
      <c r="F38" s="18">
        <f>IF($A38="","",EDATE(data_inicial,Tabela2[[#This Row],[Mês]]))</f>
        <v>47187</v>
      </c>
    </row>
    <row r="39" spans="1:6" x14ac:dyDescent="0.3">
      <c r="A39" s="2">
        <f>IF(ROW(A39)&lt;=periodo+1, ROW(A39)-1, "")</f>
        <v>38</v>
      </c>
      <c r="B39" s="17">
        <f t="shared" si="0"/>
        <v>500</v>
      </c>
      <c r="C39" s="17">
        <f t="shared" si="3"/>
        <v>21430.479717316026</v>
      </c>
      <c r="D39" s="17">
        <f t="shared" si="1"/>
        <v>171.4438377385282</v>
      </c>
      <c r="E39" s="17">
        <f t="shared" si="2"/>
        <v>22101.923555054553</v>
      </c>
      <c r="F39" s="18">
        <f>IF($A39="","",EDATE(data_inicial,Tabela2[[#This Row],[Mês]]))</f>
        <v>47218</v>
      </c>
    </row>
    <row r="40" spans="1:6" x14ac:dyDescent="0.3">
      <c r="A40" s="2">
        <f>IF(ROW(A40)&lt;=periodo+1, ROW(A40)-1, "")</f>
        <v>39</v>
      </c>
      <c r="B40" s="17">
        <f t="shared" si="0"/>
        <v>500</v>
      </c>
      <c r="C40" s="17">
        <f t="shared" si="3"/>
        <v>22101.923555054553</v>
      </c>
      <c r="D40" s="17">
        <f t="shared" si="1"/>
        <v>176.81538844043644</v>
      </c>
      <c r="E40" s="17">
        <f t="shared" si="2"/>
        <v>22778.738943494987</v>
      </c>
      <c r="F40" s="18">
        <f>IF($A40="","",EDATE(data_inicial,Tabela2[[#This Row],[Mês]]))</f>
        <v>47248</v>
      </c>
    </row>
    <row r="41" spans="1:6" x14ac:dyDescent="0.3">
      <c r="A41" s="2">
        <f>IF(ROW(A41)&lt;=periodo+1, ROW(A41)-1, "")</f>
        <v>40</v>
      </c>
      <c r="B41" s="17">
        <f t="shared" si="0"/>
        <v>500</v>
      </c>
      <c r="C41" s="17">
        <f t="shared" si="3"/>
        <v>22778.738943494987</v>
      </c>
      <c r="D41" s="17">
        <f t="shared" si="1"/>
        <v>182.22991154795992</v>
      </c>
      <c r="E41" s="17">
        <f t="shared" si="2"/>
        <v>23460.968855042946</v>
      </c>
      <c r="F41" s="18">
        <f>IF($A41="","",EDATE(data_inicial,Tabela2[[#This Row],[Mês]]))</f>
        <v>47279</v>
      </c>
    </row>
    <row r="42" spans="1:6" x14ac:dyDescent="0.3">
      <c r="A42" s="2">
        <f>IF(ROW(A42)&lt;=periodo+1, ROW(A42)-1, "")</f>
        <v>41</v>
      </c>
      <c r="B42" s="17">
        <f t="shared" si="0"/>
        <v>500</v>
      </c>
      <c r="C42" s="17">
        <f t="shared" si="3"/>
        <v>23460.968855042946</v>
      </c>
      <c r="D42" s="17">
        <f t="shared" si="1"/>
        <v>187.68775084034357</v>
      </c>
      <c r="E42" s="17">
        <f t="shared" si="2"/>
        <v>24148.65660588329</v>
      </c>
      <c r="F42" s="18">
        <f>IF($A42="","",EDATE(data_inicial,Tabela2[[#This Row],[Mês]]))</f>
        <v>47309</v>
      </c>
    </row>
    <row r="43" spans="1:6" x14ac:dyDescent="0.3">
      <c r="A43" s="2">
        <f>IF(ROW(A43)&lt;=periodo+1, ROW(A43)-1, "")</f>
        <v>42</v>
      </c>
      <c r="B43" s="17">
        <f t="shared" si="0"/>
        <v>500</v>
      </c>
      <c r="C43" s="17">
        <f t="shared" si="3"/>
        <v>24148.65660588329</v>
      </c>
      <c r="D43" s="17">
        <f t="shared" si="1"/>
        <v>193.18925284706631</v>
      </c>
      <c r="E43" s="17">
        <f t="shared" si="2"/>
        <v>24841.845858730358</v>
      </c>
      <c r="F43" s="18">
        <f>IF($A43="","",EDATE(data_inicial,Tabela2[[#This Row],[Mês]]))</f>
        <v>47340</v>
      </c>
    </row>
    <row r="44" spans="1:6" x14ac:dyDescent="0.3">
      <c r="A44" s="2">
        <f>IF(ROW(A44)&lt;=periodo+1, ROW(A44)-1, "")</f>
        <v>43</v>
      </c>
      <c r="B44" s="17">
        <f t="shared" si="0"/>
        <v>500</v>
      </c>
      <c r="C44" s="17">
        <f t="shared" si="3"/>
        <v>24841.845858730358</v>
      </c>
      <c r="D44" s="17">
        <f t="shared" si="1"/>
        <v>198.73476686984287</v>
      </c>
      <c r="E44" s="17">
        <f t="shared" si="2"/>
        <v>25540.5806256002</v>
      </c>
      <c r="F44" s="18">
        <f>IF($A44="","",EDATE(data_inicial,Tabela2[[#This Row],[Mês]]))</f>
        <v>47371</v>
      </c>
    </row>
    <row r="45" spans="1:6" x14ac:dyDescent="0.3">
      <c r="A45" s="2">
        <f>IF(ROW(A45)&lt;=periodo+1, ROW(A45)-1, "")</f>
        <v>44</v>
      </c>
      <c r="B45" s="17">
        <f t="shared" si="0"/>
        <v>500</v>
      </c>
      <c r="C45" s="17">
        <f t="shared" si="3"/>
        <v>25540.5806256002</v>
      </c>
      <c r="D45" s="17">
        <f t="shared" si="1"/>
        <v>204.3246450048016</v>
      </c>
      <c r="E45" s="17">
        <f t="shared" si="2"/>
        <v>26244.905270605002</v>
      </c>
      <c r="F45" s="18">
        <f>IF($A45="","",EDATE(data_inicial,Tabela2[[#This Row],[Mês]]))</f>
        <v>47401</v>
      </c>
    </row>
    <row r="46" spans="1:6" x14ac:dyDescent="0.3">
      <c r="A46" s="2">
        <f>IF(ROW(A46)&lt;=periodo+1, ROW(A46)-1, "")</f>
        <v>45</v>
      </c>
      <c r="B46" s="17">
        <f t="shared" si="0"/>
        <v>500</v>
      </c>
      <c r="C46" s="17">
        <f t="shared" si="3"/>
        <v>26244.905270605002</v>
      </c>
      <c r="D46" s="17">
        <f t="shared" si="1"/>
        <v>209.95924216484002</v>
      </c>
      <c r="E46" s="17">
        <f t="shared" si="2"/>
        <v>26954.864512769844</v>
      </c>
      <c r="F46" s="18">
        <f>IF($A46="","",EDATE(data_inicial,Tabela2[[#This Row],[Mês]]))</f>
        <v>47432</v>
      </c>
    </row>
    <row r="47" spans="1:6" x14ac:dyDescent="0.3">
      <c r="A47" s="2">
        <f>IF(ROW(A47)&lt;=periodo+1, ROW(A47)-1, "")</f>
        <v>46</v>
      </c>
      <c r="B47" s="17">
        <f t="shared" si="0"/>
        <v>500</v>
      </c>
      <c r="C47" s="17">
        <f t="shared" si="3"/>
        <v>26954.864512769844</v>
      </c>
      <c r="D47" s="17">
        <f t="shared" si="1"/>
        <v>215.63891610215876</v>
      </c>
      <c r="E47" s="17">
        <f t="shared" si="2"/>
        <v>27670.503428872002</v>
      </c>
      <c r="F47" s="18">
        <f>IF($A47="","",EDATE(data_inicial,Tabela2[[#This Row],[Mês]]))</f>
        <v>47462</v>
      </c>
    </row>
    <row r="48" spans="1:6" x14ac:dyDescent="0.3">
      <c r="A48" s="2">
        <f>IF(ROW(A48)&lt;=periodo+1, ROW(A48)-1, "")</f>
        <v>47</v>
      </c>
      <c r="B48" s="17">
        <f t="shared" si="0"/>
        <v>500</v>
      </c>
      <c r="C48" s="17">
        <f t="shared" si="3"/>
        <v>27670.503428872002</v>
      </c>
      <c r="D48" s="17">
        <f t="shared" si="1"/>
        <v>221.36402743097602</v>
      </c>
      <c r="E48" s="17">
        <f t="shared" si="2"/>
        <v>28391.867456302978</v>
      </c>
      <c r="F48" s="18">
        <f>IF($A48="","",EDATE(data_inicial,Tabela2[[#This Row],[Mês]]))</f>
        <v>47493</v>
      </c>
    </row>
    <row r="49" spans="1:6" x14ac:dyDescent="0.3">
      <c r="A49" s="2">
        <f>IF(ROW(A49)&lt;=periodo+1, ROW(A49)-1, "")</f>
        <v>48</v>
      </c>
      <c r="B49" s="17">
        <f t="shared" si="0"/>
        <v>500</v>
      </c>
      <c r="C49" s="17">
        <f t="shared" si="3"/>
        <v>28391.867456302978</v>
      </c>
      <c r="D49" s="17">
        <f t="shared" si="1"/>
        <v>227.13493965042383</v>
      </c>
      <c r="E49" s="17">
        <f t="shared" si="2"/>
        <v>29119.002395953401</v>
      </c>
      <c r="F49" s="18">
        <f>IF($A49="","",EDATE(data_inicial,Tabela2[[#This Row],[Mês]]))</f>
        <v>47524</v>
      </c>
    </row>
    <row r="50" spans="1:6" x14ac:dyDescent="0.3">
      <c r="A50" s="2">
        <f>IF(ROW(A50)&lt;=periodo+1, ROW(A50)-1, "")</f>
        <v>49</v>
      </c>
      <c r="B50" s="17">
        <f t="shared" si="0"/>
        <v>500</v>
      </c>
      <c r="C50" s="17">
        <f t="shared" si="3"/>
        <v>29119.002395953401</v>
      </c>
      <c r="D50" s="17">
        <f t="shared" si="1"/>
        <v>232.95201916762721</v>
      </c>
      <c r="E50" s="17">
        <f t="shared" si="2"/>
        <v>29851.954415121028</v>
      </c>
      <c r="F50" s="18">
        <f>IF($A50="","",EDATE(data_inicial,Tabela2[[#This Row],[Mês]]))</f>
        <v>47552</v>
      </c>
    </row>
    <row r="51" spans="1:6" x14ac:dyDescent="0.3">
      <c r="A51" s="2">
        <f>IF(ROW(A51)&lt;=periodo+1, ROW(A51)-1, "")</f>
        <v>50</v>
      </c>
      <c r="B51" s="17">
        <f t="shared" si="0"/>
        <v>500</v>
      </c>
      <c r="C51" s="17">
        <f t="shared" si="3"/>
        <v>29851.954415121028</v>
      </c>
      <c r="D51" s="17">
        <f t="shared" si="1"/>
        <v>238.81563532096823</v>
      </c>
      <c r="E51" s="17">
        <f t="shared" si="2"/>
        <v>30590.770050441995</v>
      </c>
      <c r="F51" s="18">
        <f>IF($A51="","",EDATE(data_inicial,Tabela2[[#This Row],[Mês]]))</f>
        <v>47583</v>
      </c>
    </row>
    <row r="52" spans="1:6" x14ac:dyDescent="0.3">
      <c r="A52" s="2">
        <f>IF(ROW(A52)&lt;=periodo+1, ROW(A52)-1, "")</f>
        <v>51</v>
      </c>
      <c r="B52" s="17">
        <f t="shared" si="0"/>
        <v>500</v>
      </c>
      <c r="C52" s="17">
        <f t="shared" si="3"/>
        <v>30590.770050441995</v>
      </c>
      <c r="D52" s="17">
        <f t="shared" si="1"/>
        <v>244.72616040353597</v>
      </c>
      <c r="E52" s="17">
        <f t="shared" si="2"/>
        <v>31335.496210845533</v>
      </c>
      <c r="F52" s="18">
        <f>IF($A52="","",EDATE(data_inicial,Tabela2[[#This Row],[Mês]]))</f>
        <v>47613</v>
      </c>
    </row>
    <row r="53" spans="1:6" x14ac:dyDescent="0.3">
      <c r="A53" s="2">
        <f>IF(ROW(A53)&lt;=periodo+1, ROW(A53)-1, "")</f>
        <v>52</v>
      </c>
      <c r="B53" s="17">
        <f t="shared" si="0"/>
        <v>500</v>
      </c>
      <c r="C53" s="17">
        <f t="shared" si="3"/>
        <v>31335.496210845533</v>
      </c>
      <c r="D53" s="17">
        <f t="shared" si="1"/>
        <v>250.68396968676427</v>
      </c>
      <c r="E53" s="17">
        <f t="shared" si="2"/>
        <v>32086.180180532298</v>
      </c>
      <c r="F53" s="18">
        <f>IF($A53="","",EDATE(data_inicial,Tabela2[[#This Row],[Mês]]))</f>
        <v>47644</v>
      </c>
    </row>
    <row r="54" spans="1:6" x14ac:dyDescent="0.3">
      <c r="A54" s="2">
        <f>IF(ROW(A54)&lt;=periodo+1, ROW(A54)-1, "")</f>
        <v>53</v>
      </c>
      <c r="B54" s="17">
        <f t="shared" si="0"/>
        <v>500</v>
      </c>
      <c r="C54" s="17">
        <f t="shared" si="3"/>
        <v>32086.180180532298</v>
      </c>
      <c r="D54" s="17">
        <f t="shared" si="1"/>
        <v>256.68944144425836</v>
      </c>
      <c r="E54" s="17">
        <f t="shared" si="2"/>
        <v>32842.869621976555</v>
      </c>
      <c r="F54" s="18">
        <f>IF($A54="","",EDATE(data_inicial,Tabela2[[#This Row],[Mês]]))</f>
        <v>47674</v>
      </c>
    </row>
    <row r="55" spans="1:6" x14ac:dyDescent="0.3">
      <c r="A55" s="2">
        <f>IF(ROW(A55)&lt;=periodo+1, ROW(A55)-1, "")</f>
        <v>54</v>
      </c>
      <c r="B55" s="17">
        <f t="shared" si="0"/>
        <v>500</v>
      </c>
      <c r="C55" s="17">
        <f t="shared" si="3"/>
        <v>32842.869621976555</v>
      </c>
      <c r="D55" s="17">
        <f t="shared" si="1"/>
        <v>262.74295697581243</v>
      </c>
      <c r="E55" s="17">
        <f t="shared" si="2"/>
        <v>33605.612578952365</v>
      </c>
      <c r="F55" s="18">
        <f>IF($A55="","",EDATE(data_inicial,Tabela2[[#This Row],[Mês]]))</f>
        <v>47705</v>
      </c>
    </row>
    <row r="56" spans="1:6" x14ac:dyDescent="0.3">
      <c r="A56" s="2">
        <f>IF(ROW(A56)&lt;=periodo+1, ROW(A56)-1, "")</f>
        <v>55</v>
      </c>
      <c r="B56" s="17">
        <f t="shared" si="0"/>
        <v>500</v>
      </c>
      <c r="C56" s="17">
        <f t="shared" si="3"/>
        <v>33605.612578952365</v>
      </c>
      <c r="D56" s="17">
        <f t="shared" si="1"/>
        <v>268.84490063161894</v>
      </c>
      <c r="E56" s="17">
        <f t="shared" si="2"/>
        <v>34374.457479583987</v>
      </c>
      <c r="F56" s="18">
        <f>IF($A56="","",EDATE(data_inicial,Tabela2[[#This Row],[Mês]]))</f>
        <v>47736</v>
      </c>
    </row>
    <row r="57" spans="1:6" x14ac:dyDescent="0.3">
      <c r="A57" s="2">
        <f>IF(ROW(A57)&lt;=periodo+1, ROW(A57)-1, "")</f>
        <v>56</v>
      </c>
      <c r="B57" s="17">
        <f t="shared" si="0"/>
        <v>500</v>
      </c>
      <c r="C57" s="17">
        <f t="shared" si="3"/>
        <v>34374.457479583987</v>
      </c>
      <c r="D57" s="17">
        <f t="shared" si="1"/>
        <v>274.9956598366719</v>
      </c>
      <c r="E57" s="17">
        <f t="shared" si="2"/>
        <v>35149.453139420657</v>
      </c>
      <c r="F57" s="18">
        <f>IF($A57="","",EDATE(data_inicial,Tabela2[[#This Row],[Mês]]))</f>
        <v>47766</v>
      </c>
    </row>
    <row r="58" spans="1:6" x14ac:dyDescent="0.3">
      <c r="A58" s="2">
        <f>IF(ROW(A58)&lt;=periodo+1, ROW(A58)-1, "")</f>
        <v>57</v>
      </c>
      <c r="B58" s="17">
        <f t="shared" si="0"/>
        <v>500</v>
      </c>
      <c r="C58" s="17">
        <f t="shared" si="3"/>
        <v>35149.453139420657</v>
      </c>
      <c r="D58" s="17">
        <f t="shared" si="1"/>
        <v>281.19562511536526</v>
      </c>
      <c r="E58" s="17">
        <f t="shared" si="2"/>
        <v>35930.648764536025</v>
      </c>
      <c r="F58" s="18">
        <f>IF($A58="","",EDATE(data_inicial,Tabela2[[#This Row],[Mês]]))</f>
        <v>47797</v>
      </c>
    </row>
    <row r="59" spans="1:6" x14ac:dyDescent="0.3">
      <c r="A59" s="2">
        <f>IF(ROW(A59)&lt;=periodo+1, ROW(A59)-1, "")</f>
        <v>58</v>
      </c>
      <c r="B59" s="17">
        <f t="shared" si="0"/>
        <v>500</v>
      </c>
      <c r="C59" s="17">
        <f t="shared" si="3"/>
        <v>35930.648764536025</v>
      </c>
      <c r="D59" s="17">
        <f t="shared" si="1"/>
        <v>287.44519011628819</v>
      </c>
      <c r="E59" s="17">
        <f t="shared" si="2"/>
        <v>36718.093954652315</v>
      </c>
      <c r="F59" s="18">
        <f>IF($A59="","",EDATE(data_inicial,Tabela2[[#This Row],[Mês]]))</f>
        <v>47827</v>
      </c>
    </row>
    <row r="60" spans="1:6" x14ac:dyDescent="0.3">
      <c r="A60" s="2">
        <f>IF(ROW(A60)&lt;=periodo+1, ROW(A60)-1, "")</f>
        <v>59</v>
      </c>
      <c r="B60" s="17">
        <f t="shared" si="0"/>
        <v>500</v>
      </c>
      <c r="C60" s="17">
        <f t="shared" si="3"/>
        <v>36718.093954652315</v>
      </c>
      <c r="D60" s="17">
        <f t="shared" si="1"/>
        <v>293.74475163721854</v>
      </c>
      <c r="E60" s="17">
        <f t="shared" si="2"/>
        <v>37511.838706289534</v>
      </c>
      <c r="F60" s="18">
        <f>IF($A60="","",EDATE(data_inicial,Tabela2[[#This Row],[Mês]]))</f>
        <v>47858</v>
      </c>
    </row>
    <row r="61" spans="1:6" x14ac:dyDescent="0.3">
      <c r="A61" s="2">
        <f>IF(ROW(A61)&lt;=periodo+1, ROW(A61)-1, "")</f>
        <v>60</v>
      </c>
      <c r="B61" s="17">
        <f t="shared" si="0"/>
        <v>500</v>
      </c>
      <c r="C61" s="17">
        <f t="shared" si="3"/>
        <v>37511.838706289534</v>
      </c>
      <c r="D61" s="17">
        <f t="shared" si="1"/>
        <v>300.0947096503163</v>
      </c>
      <c r="E61" s="17">
        <f t="shared" si="2"/>
        <v>38311.93341593985</v>
      </c>
      <c r="F61" s="18">
        <f>IF($A61="","",EDATE(data_inicial,Tabela2[[#This Row],[Mês]]))</f>
        <v>47889</v>
      </c>
    </row>
    <row r="62" spans="1:6" x14ac:dyDescent="0.3">
      <c r="A62" s="2">
        <f>IF(ROW(A62)&lt;=periodo+1, ROW(A62)-1, "")</f>
        <v>61</v>
      </c>
      <c r="B62" s="17">
        <f t="shared" si="0"/>
        <v>500</v>
      </c>
      <c r="C62" s="17">
        <f t="shared" si="3"/>
        <v>38311.93341593985</v>
      </c>
      <c r="D62" s="17">
        <f t="shared" si="1"/>
        <v>306.49546732751878</v>
      </c>
      <c r="E62" s="17">
        <f t="shared" si="2"/>
        <v>39118.42888326737</v>
      </c>
      <c r="F62" s="18">
        <f>IF($A62="","",EDATE(data_inicial,Tabela2[[#This Row],[Mês]]))</f>
        <v>47917</v>
      </c>
    </row>
    <row r="63" spans="1:6" x14ac:dyDescent="0.3">
      <c r="A63" s="2">
        <f>IF(ROW(A63)&lt;=periodo+1, ROW(A63)-1, "")</f>
        <v>62</v>
      </c>
      <c r="B63" s="17">
        <f t="shared" si="0"/>
        <v>500</v>
      </c>
      <c r="C63" s="17">
        <f t="shared" si="3"/>
        <v>39118.42888326737</v>
      </c>
      <c r="D63" s="17">
        <f t="shared" si="1"/>
        <v>312.94743106613896</v>
      </c>
      <c r="E63" s="17">
        <f t="shared" si="2"/>
        <v>39931.376314333509</v>
      </c>
      <c r="F63" s="18">
        <f>IF($A63="","",EDATE(data_inicial,Tabela2[[#This Row],[Mês]]))</f>
        <v>47948</v>
      </c>
    </row>
    <row r="64" spans="1:6" x14ac:dyDescent="0.3">
      <c r="A64" s="2">
        <f>IF(ROW(A64)&lt;=periodo+1, ROW(A64)-1, "")</f>
        <v>63</v>
      </c>
      <c r="B64" s="17">
        <f t="shared" si="0"/>
        <v>500</v>
      </c>
      <c r="C64" s="17">
        <f t="shared" si="3"/>
        <v>39931.376314333509</v>
      </c>
      <c r="D64" s="17">
        <f t="shared" si="1"/>
        <v>319.4510105146681</v>
      </c>
      <c r="E64" s="17">
        <f t="shared" si="2"/>
        <v>40750.827324848178</v>
      </c>
      <c r="F64" s="18">
        <f>IF($A64="","",EDATE(data_inicial,Tabela2[[#This Row],[Mês]]))</f>
        <v>47978</v>
      </c>
    </row>
    <row r="65" spans="1:6" x14ac:dyDescent="0.3">
      <c r="A65" s="2">
        <f>IF(ROW(A65)&lt;=periodo+1, ROW(A65)-1, "")</f>
        <v>64</v>
      </c>
      <c r="B65" s="17">
        <f t="shared" si="0"/>
        <v>500</v>
      </c>
      <c r="C65" s="17">
        <f t="shared" si="3"/>
        <v>40750.827324848178</v>
      </c>
      <c r="D65" s="17">
        <f t="shared" si="1"/>
        <v>326.00661859878545</v>
      </c>
      <c r="E65" s="17">
        <f t="shared" si="2"/>
        <v>41576.833943446967</v>
      </c>
      <c r="F65" s="18">
        <f>IF($A65="","",EDATE(data_inicial,Tabela2[[#This Row],[Mês]]))</f>
        <v>48009</v>
      </c>
    </row>
    <row r="66" spans="1:6" x14ac:dyDescent="0.3">
      <c r="A66" s="2">
        <f>IF(ROW(A66)&lt;=periodo+1, ROW(A66)-1, "")</f>
        <v>65</v>
      </c>
      <c r="B66" s="17">
        <f t="shared" ref="B66:B129" si="4">IF($A66="","",aporte)</f>
        <v>500</v>
      </c>
      <c r="C66" s="17">
        <f t="shared" si="3"/>
        <v>41576.833943446967</v>
      </c>
      <c r="D66" s="17">
        <f t="shared" ref="D66:D129" si="5">IF($A66="","",C66*taxa)</f>
        <v>332.61467154757577</v>
      </c>
      <c r="E66" s="17">
        <f t="shared" ref="E66:E129" si="6">IF($A66="","",(C66+B66)+D66)</f>
        <v>42409.448614994544</v>
      </c>
      <c r="F66" s="18">
        <f>IF($A66="","",EDATE(data_inicial,Tabela2[[#This Row],[Mês]]))</f>
        <v>48039</v>
      </c>
    </row>
    <row r="67" spans="1:6" x14ac:dyDescent="0.3">
      <c r="A67" s="2">
        <f>IF(ROW(A67)&lt;=periodo+1, ROW(A67)-1, "")</f>
        <v>66</v>
      </c>
      <c r="B67" s="17">
        <f t="shared" si="4"/>
        <v>500</v>
      </c>
      <c r="C67" s="17">
        <f t="shared" ref="C67:C130" si="7">IF($A67="","",IF($A67=1,0,E66))</f>
        <v>42409.448614994544</v>
      </c>
      <c r="D67" s="17">
        <f t="shared" si="5"/>
        <v>339.27558891995636</v>
      </c>
      <c r="E67" s="17">
        <f t="shared" si="6"/>
        <v>43248.724203914499</v>
      </c>
      <c r="F67" s="18">
        <f>IF($A67="","",EDATE(data_inicial,Tabela2[[#This Row],[Mês]]))</f>
        <v>48070</v>
      </c>
    </row>
    <row r="68" spans="1:6" x14ac:dyDescent="0.3">
      <c r="A68" s="2">
        <f>IF(ROW(A68)&lt;=periodo+1, ROW(A68)-1, "")</f>
        <v>67</v>
      </c>
      <c r="B68" s="17">
        <f t="shared" si="4"/>
        <v>500</v>
      </c>
      <c r="C68" s="17">
        <f t="shared" si="7"/>
        <v>43248.724203914499</v>
      </c>
      <c r="D68" s="17">
        <f t="shared" si="5"/>
        <v>345.98979363131599</v>
      </c>
      <c r="E68" s="17">
        <f t="shared" si="6"/>
        <v>44094.713997545812</v>
      </c>
      <c r="F68" s="18">
        <f>IF($A68="","",EDATE(data_inicial,Tabela2[[#This Row],[Mês]]))</f>
        <v>48101</v>
      </c>
    </row>
    <row r="69" spans="1:6" x14ac:dyDescent="0.3">
      <c r="A69" s="2">
        <f>IF(ROW(A69)&lt;=periodo+1, ROW(A69)-1, "")</f>
        <v>68</v>
      </c>
      <c r="B69" s="17">
        <f t="shared" si="4"/>
        <v>500</v>
      </c>
      <c r="C69" s="17">
        <f t="shared" si="7"/>
        <v>44094.713997545812</v>
      </c>
      <c r="D69" s="17">
        <f t="shared" si="5"/>
        <v>352.75771198036648</v>
      </c>
      <c r="E69" s="17">
        <f t="shared" si="6"/>
        <v>44947.47170952618</v>
      </c>
      <c r="F69" s="18">
        <f>IF($A69="","",EDATE(data_inicial,Tabela2[[#This Row],[Mês]]))</f>
        <v>48131</v>
      </c>
    </row>
    <row r="70" spans="1:6" x14ac:dyDescent="0.3">
      <c r="A70" s="2">
        <f>IF(ROW(A70)&lt;=periodo+1, ROW(A70)-1, "")</f>
        <v>69</v>
      </c>
      <c r="B70" s="17">
        <f t="shared" si="4"/>
        <v>500</v>
      </c>
      <c r="C70" s="17">
        <f t="shared" si="7"/>
        <v>44947.47170952618</v>
      </c>
      <c r="D70" s="17">
        <f t="shared" si="5"/>
        <v>359.57977367620947</v>
      </c>
      <c r="E70" s="17">
        <f t="shared" si="6"/>
        <v>45807.051483202391</v>
      </c>
      <c r="F70" s="18">
        <f>IF($A70="","",EDATE(data_inicial,Tabela2[[#This Row],[Mês]]))</f>
        <v>48162</v>
      </c>
    </row>
    <row r="71" spans="1:6" x14ac:dyDescent="0.3">
      <c r="A71" s="2">
        <f>IF(ROW(A71)&lt;=periodo+1, ROW(A71)-1, "")</f>
        <v>70</v>
      </c>
      <c r="B71" s="17">
        <f t="shared" si="4"/>
        <v>500</v>
      </c>
      <c r="C71" s="17">
        <f t="shared" si="7"/>
        <v>45807.051483202391</v>
      </c>
      <c r="D71" s="17">
        <f t="shared" si="5"/>
        <v>366.45641186561915</v>
      </c>
      <c r="E71" s="17">
        <f t="shared" si="6"/>
        <v>46673.507895068011</v>
      </c>
      <c r="F71" s="18">
        <f>IF($A71="","",EDATE(data_inicial,Tabela2[[#This Row],[Mês]]))</f>
        <v>48192</v>
      </c>
    </row>
    <row r="72" spans="1:6" x14ac:dyDescent="0.3">
      <c r="A72" s="2">
        <f>IF(ROW(A72)&lt;=periodo+1, ROW(A72)-1, "")</f>
        <v>71</v>
      </c>
      <c r="B72" s="17">
        <f t="shared" si="4"/>
        <v>500</v>
      </c>
      <c r="C72" s="17">
        <f t="shared" si="7"/>
        <v>46673.507895068011</v>
      </c>
      <c r="D72" s="17">
        <f t="shared" si="5"/>
        <v>373.38806316054411</v>
      </c>
      <c r="E72" s="17">
        <f t="shared" si="6"/>
        <v>47546.895958228553</v>
      </c>
      <c r="F72" s="18">
        <f>IF($A72="","",EDATE(data_inicial,Tabela2[[#This Row],[Mês]]))</f>
        <v>48223</v>
      </c>
    </row>
    <row r="73" spans="1:6" x14ac:dyDescent="0.3">
      <c r="A73" s="2">
        <f>IF(ROW(A73)&lt;=periodo+1, ROW(A73)-1, "")</f>
        <v>72</v>
      </c>
      <c r="B73" s="17">
        <f t="shared" si="4"/>
        <v>500</v>
      </c>
      <c r="C73" s="17">
        <f t="shared" si="7"/>
        <v>47546.895958228553</v>
      </c>
      <c r="D73" s="17">
        <f t="shared" si="5"/>
        <v>380.37516766582843</v>
      </c>
      <c r="E73" s="17">
        <f t="shared" si="6"/>
        <v>48427.271125894382</v>
      </c>
      <c r="F73" s="18">
        <f>IF($A73="","",EDATE(data_inicial,Tabela2[[#This Row],[Mês]]))</f>
        <v>48254</v>
      </c>
    </row>
    <row r="74" spans="1:6" x14ac:dyDescent="0.3">
      <c r="A74" s="2">
        <f>IF(ROW(A74)&lt;=periodo+1, ROW(A74)-1, "")</f>
        <v>73</v>
      </c>
      <c r="B74" s="17">
        <f t="shared" si="4"/>
        <v>500</v>
      </c>
      <c r="C74" s="17">
        <f t="shared" si="7"/>
        <v>48427.271125894382</v>
      </c>
      <c r="D74" s="17">
        <f t="shared" si="5"/>
        <v>387.41816900715509</v>
      </c>
      <c r="E74" s="17">
        <f t="shared" si="6"/>
        <v>49314.689294901538</v>
      </c>
      <c r="F74" s="18">
        <f>IF($A74="","",EDATE(data_inicial,Tabela2[[#This Row],[Mês]]))</f>
        <v>48283</v>
      </c>
    </row>
    <row r="75" spans="1:6" x14ac:dyDescent="0.3">
      <c r="A75" s="2">
        <f>IF(ROW(A75)&lt;=periodo+1, ROW(A75)-1, "")</f>
        <v>74</v>
      </c>
      <c r="B75" s="17">
        <f t="shared" si="4"/>
        <v>500</v>
      </c>
      <c r="C75" s="17">
        <f t="shared" si="7"/>
        <v>49314.689294901538</v>
      </c>
      <c r="D75" s="17">
        <f t="shared" si="5"/>
        <v>394.51751435921233</v>
      </c>
      <c r="E75" s="17">
        <f t="shared" si="6"/>
        <v>50209.206809260751</v>
      </c>
      <c r="F75" s="18">
        <f>IF($A75="","",EDATE(data_inicial,Tabela2[[#This Row],[Mês]]))</f>
        <v>48314</v>
      </c>
    </row>
    <row r="76" spans="1:6" x14ac:dyDescent="0.3">
      <c r="A76" s="2">
        <f>IF(ROW(A76)&lt;=periodo+1, ROW(A76)-1, "")</f>
        <v>75</v>
      </c>
      <c r="B76" s="17">
        <f t="shared" si="4"/>
        <v>500</v>
      </c>
      <c r="C76" s="17">
        <f t="shared" si="7"/>
        <v>50209.206809260751</v>
      </c>
      <c r="D76" s="17">
        <f t="shared" si="5"/>
        <v>401.67365447408599</v>
      </c>
      <c r="E76" s="17">
        <f t="shared" si="6"/>
        <v>51110.880463734837</v>
      </c>
      <c r="F76" s="18">
        <f>IF($A76="","",EDATE(data_inicial,Tabela2[[#This Row],[Mês]]))</f>
        <v>48344</v>
      </c>
    </row>
    <row r="77" spans="1:6" x14ac:dyDescent="0.3">
      <c r="A77" s="2">
        <f>IF(ROW(A77)&lt;=periodo+1, ROW(A77)-1, "")</f>
        <v>76</v>
      </c>
      <c r="B77" s="17">
        <f t="shared" si="4"/>
        <v>500</v>
      </c>
      <c r="C77" s="17">
        <f t="shared" si="7"/>
        <v>51110.880463734837</v>
      </c>
      <c r="D77" s="17">
        <f t="shared" si="5"/>
        <v>408.8870437098787</v>
      </c>
      <c r="E77" s="17">
        <f t="shared" si="6"/>
        <v>52019.767507444718</v>
      </c>
      <c r="F77" s="18">
        <f>IF($A77="","",EDATE(data_inicial,Tabela2[[#This Row],[Mês]]))</f>
        <v>48375</v>
      </c>
    </row>
    <row r="78" spans="1:6" x14ac:dyDescent="0.3">
      <c r="A78" s="2">
        <f>IF(ROW(A78)&lt;=periodo+1, ROW(A78)-1, "")</f>
        <v>77</v>
      </c>
      <c r="B78" s="17">
        <f t="shared" si="4"/>
        <v>500</v>
      </c>
      <c r="C78" s="17">
        <f t="shared" si="7"/>
        <v>52019.767507444718</v>
      </c>
      <c r="D78" s="17">
        <f t="shared" si="5"/>
        <v>416.15814005955775</v>
      </c>
      <c r="E78" s="17">
        <f t="shared" si="6"/>
        <v>52935.925647504278</v>
      </c>
      <c r="F78" s="18">
        <f>IF($A78="","",EDATE(data_inicial,Tabela2[[#This Row],[Mês]]))</f>
        <v>48405</v>
      </c>
    </row>
    <row r="79" spans="1:6" x14ac:dyDescent="0.3">
      <c r="A79" s="2">
        <f>IF(ROW(A79)&lt;=periodo+1, ROW(A79)-1, "")</f>
        <v>78</v>
      </c>
      <c r="B79" s="17">
        <f t="shared" si="4"/>
        <v>500</v>
      </c>
      <c r="C79" s="17">
        <f t="shared" si="7"/>
        <v>52935.925647504278</v>
      </c>
      <c r="D79" s="17">
        <f t="shared" si="5"/>
        <v>423.48740518003422</v>
      </c>
      <c r="E79" s="17">
        <f t="shared" si="6"/>
        <v>53859.413052684315</v>
      </c>
      <c r="F79" s="18">
        <f>IF($A79="","",EDATE(data_inicial,Tabela2[[#This Row],[Mês]]))</f>
        <v>48436</v>
      </c>
    </row>
    <row r="80" spans="1:6" x14ac:dyDescent="0.3">
      <c r="A80" s="2">
        <f>IF(ROW(A80)&lt;=periodo+1, ROW(A80)-1, "")</f>
        <v>79</v>
      </c>
      <c r="B80" s="17">
        <f t="shared" si="4"/>
        <v>500</v>
      </c>
      <c r="C80" s="17">
        <f t="shared" si="7"/>
        <v>53859.413052684315</v>
      </c>
      <c r="D80" s="17">
        <f t="shared" si="5"/>
        <v>430.87530442147454</v>
      </c>
      <c r="E80" s="17">
        <f t="shared" si="6"/>
        <v>54790.28835710579</v>
      </c>
      <c r="F80" s="18">
        <f>IF($A80="","",EDATE(data_inicial,Tabela2[[#This Row],[Mês]]))</f>
        <v>48467</v>
      </c>
    </row>
    <row r="81" spans="1:6" x14ac:dyDescent="0.3">
      <c r="A81" s="2">
        <f>IF(ROW(A81)&lt;=periodo+1, ROW(A81)-1, "")</f>
        <v>80</v>
      </c>
      <c r="B81" s="17">
        <f t="shared" si="4"/>
        <v>500</v>
      </c>
      <c r="C81" s="17">
        <f t="shared" si="7"/>
        <v>54790.28835710579</v>
      </c>
      <c r="D81" s="17">
        <f t="shared" si="5"/>
        <v>438.32230685684635</v>
      </c>
      <c r="E81" s="17">
        <f t="shared" si="6"/>
        <v>55728.610663962638</v>
      </c>
      <c r="F81" s="18">
        <f>IF($A81="","",EDATE(data_inicial,Tabela2[[#This Row],[Mês]]))</f>
        <v>48497</v>
      </c>
    </row>
    <row r="82" spans="1:6" x14ac:dyDescent="0.3">
      <c r="A82" s="2">
        <f>IF(ROW(A82)&lt;=periodo+1, ROW(A82)-1, "")</f>
        <v>81</v>
      </c>
      <c r="B82" s="17">
        <f t="shared" si="4"/>
        <v>500</v>
      </c>
      <c r="C82" s="17">
        <f t="shared" si="7"/>
        <v>55728.610663962638</v>
      </c>
      <c r="D82" s="17">
        <f t="shared" si="5"/>
        <v>445.82888531170113</v>
      </c>
      <c r="E82" s="17">
        <f t="shared" si="6"/>
        <v>56674.439549274342</v>
      </c>
      <c r="F82" s="18">
        <f>IF($A82="","",EDATE(data_inicial,Tabela2[[#This Row],[Mês]]))</f>
        <v>48528</v>
      </c>
    </row>
    <row r="83" spans="1:6" x14ac:dyDescent="0.3">
      <c r="A83" s="2">
        <f>IF(ROW(A83)&lt;=periodo+1, ROW(A83)-1, "")</f>
        <v>82</v>
      </c>
      <c r="B83" s="17">
        <f t="shared" si="4"/>
        <v>500</v>
      </c>
      <c r="C83" s="17">
        <f t="shared" si="7"/>
        <v>56674.439549274342</v>
      </c>
      <c r="D83" s="17">
        <f t="shared" si="5"/>
        <v>453.39551639419477</v>
      </c>
      <c r="E83" s="17">
        <f t="shared" si="6"/>
        <v>57627.835065668536</v>
      </c>
      <c r="F83" s="18">
        <f>IF($A83="","",EDATE(data_inicial,Tabela2[[#This Row],[Mês]]))</f>
        <v>48558</v>
      </c>
    </row>
    <row r="84" spans="1:6" x14ac:dyDescent="0.3">
      <c r="A84" s="2">
        <f>IF(ROW(A84)&lt;=periodo+1, ROW(A84)-1, "")</f>
        <v>83</v>
      </c>
      <c r="B84" s="17">
        <f t="shared" si="4"/>
        <v>500</v>
      </c>
      <c r="C84" s="17">
        <f t="shared" si="7"/>
        <v>57627.835065668536</v>
      </c>
      <c r="D84" s="17">
        <f t="shared" si="5"/>
        <v>461.02268052534828</v>
      </c>
      <c r="E84" s="17">
        <f t="shared" si="6"/>
        <v>58588.857746193884</v>
      </c>
      <c r="F84" s="18">
        <f>IF($A84="","",EDATE(data_inicial,Tabela2[[#This Row],[Mês]]))</f>
        <v>48589</v>
      </c>
    </row>
    <row r="85" spans="1:6" x14ac:dyDescent="0.3">
      <c r="A85" s="2">
        <f>IF(ROW(A85)&lt;=periodo+1, ROW(A85)-1, "")</f>
        <v>84</v>
      </c>
      <c r="B85" s="17">
        <f t="shared" si="4"/>
        <v>500</v>
      </c>
      <c r="C85" s="17">
        <f t="shared" si="7"/>
        <v>58588.857746193884</v>
      </c>
      <c r="D85" s="17">
        <f t="shared" si="5"/>
        <v>468.7108619695511</v>
      </c>
      <c r="E85" s="17">
        <f t="shared" si="6"/>
        <v>59557.568608163434</v>
      </c>
      <c r="F85" s="18">
        <f>IF($A85="","",EDATE(data_inicial,Tabela2[[#This Row],[Mês]]))</f>
        <v>48620</v>
      </c>
    </row>
    <row r="86" spans="1:6" x14ac:dyDescent="0.3">
      <c r="A86" s="2">
        <f>IF(ROW(A86)&lt;=periodo+1, ROW(A86)-1, "")</f>
        <v>85</v>
      </c>
      <c r="B86" s="17">
        <f t="shared" si="4"/>
        <v>500</v>
      </c>
      <c r="C86" s="17">
        <f t="shared" si="7"/>
        <v>59557.568608163434</v>
      </c>
      <c r="D86" s="17">
        <f t="shared" si="5"/>
        <v>476.46054886530749</v>
      </c>
      <c r="E86" s="17">
        <f t="shared" si="6"/>
        <v>60534.029157028745</v>
      </c>
      <c r="F86" s="18">
        <f>IF($A86="","",EDATE(data_inicial,Tabela2[[#This Row],[Mês]]))</f>
        <v>48648</v>
      </c>
    </row>
    <row r="87" spans="1:6" x14ac:dyDescent="0.3">
      <c r="A87" s="2">
        <f>IF(ROW(A87)&lt;=periodo+1, ROW(A87)-1, "")</f>
        <v>86</v>
      </c>
      <c r="B87" s="17">
        <f t="shared" si="4"/>
        <v>500</v>
      </c>
      <c r="C87" s="17">
        <f t="shared" si="7"/>
        <v>60534.029157028745</v>
      </c>
      <c r="D87" s="17">
        <f t="shared" si="5"/>
        <v>484.27223325622998</v>
      </c>
      <c r="E87" s="17">
        <f t="shared" si="6"/>
        <v>61518.301390284978</v>
      </c>
      <c r="F87" s="18">
        <f>IF($A87="","",EDATE(data_inicial,Tabela2[[#This Row],[Mês]]))</f>
        <v>48679</v>
      </c>
    </row>
    <row r="88" spans="1:6" x14ac:dyDescent="0.3">
      <c r="A88" s="2">
        <f>IF(ROW(A88)&lt;=periodo+1, ROW(A88)-1, "")</f>
        <v>87</v>
      </c>
      <c r="B88" s="17">
        <f t="shared" si="4"/>
        <v>500</v>
      </c>
      <c r="C88" s="17">
        <f t="shared" si="7"/>
        <v>61518.301390284978</v>
      </c>
      <c r="D88" s="17">
        <f t="shared" si="5"/>
        <v>492.14641112227986</v>
      </c>
      <c r="E88" s="17">
        <f t="shared" si="6"/>
        <v>62510.447801407259</v>
      </c>
      <c r="F88" s="18">
        <f>IF($A88="","",EDATE(data_inicial,Tabela2[[#This Row],[Mês]]))</f>
        <v>48709</v>
      </c>
    </row>
    <row r="89" spans="1:6" x14ac:dyDescent="0.3">
      <c r="A89" s="2">
        <f>IF(ROW(A89)&lt;=periodo+1, ROW(A89)-1, "")</f>
        <v>88</v>
      </c>
      <c r="B89" s="17">
        <f t="shared" si="4"/>
        <v>500</v>
      </c>
      <c r="C89" s="17">
        <f t="shared" si="7"/>
        <v>62510.447801407259</v>
      </c>
      <c r="D89" s="17">
        <f t="shared" si="5"/>
        <v>500.08358241125808</v>
      </c>
      <c r="E89" s="17">
        <f t="shared" si="6"/>
        <v>63510.531383818517</v>
      </c>
      <c r="F89" s="18">
        <f>IF($A89="","",EDATE(data_inicial,Tabela2[[#This Row],[Mês]]))</f>
        <v>48740</v>
      </c>
    </row>
    <row r="90" spans="1:6" x14ac:dyDescent="0.3">
      <c r="A90" s="2">
        <f>IF(ROW(A90)&lt;=periodo+1, ROW(A90)-1, "")</f>
        <v>89</v>
      </c>
      <c r="B90" s="17">
        <f t="shared" si="4"/>
        <v>500</v>
      </c>
      <c r="C90" s="17">
        <f t="shared" si="7"/>
        <v>63510.531383818517</v>
      </c>
      <c r="D90" s="17">
        <f t="shared" si="5"/>
        <v>508.08425107054813</v>
      </c>
      <c r="E90" s="17">
        <f t="shared" si="6"/>
        <v>64518.615634889065</v>
      </c>
      <c r="F90" s="18">
        <f>IF($A90="","",EDATE(data_inicial,Tabela2[[#This Row],[Mês]]))</f>
        <v>48770</v>
      </c>
    </row>
    <row r="91" spans="1:6" x14ac:dyDescent="0.3">
      <c r="A91" s="2">
        <f>IF(ROW(A91)&lt;=periodo+1, ROW(A91)-1, "")</f>
        <v>90</v>
      </c>
      <c r="B91" s="17">
        <f t="shared" si="4"/>
        <v>500</v>
      </c>
      <c r="C91" s="17">
        <f t="shared" si="7"/>
        <v>64518.615634889065</v>
      </c>
      <c r="D91" s="17">
        <f t="shared" si="5"/>
        <v>516.14892507911259</v>
      </c>
      <c r="E91" s="17">
        <f t="shared" si="6"/>
        <v>65534.764559968178</v>
      </c>
      <c r="F91" s="18">
        <f>IF($A91="","",EDATE(data_inicial,Tabela2[[#This Row],[Mês]]))</f>
        <v>48801</v>
      </c>
    </row>
    <row r="92" spans="1:6" x14ac:dyDescent="0.3">
      <c r="A92" s="2" t="str">
        <f>IF(ROW(A92)&lt;=periodo+1, ROW(A92)-1, "")</f>
        <v/>
      </c>
      <c r="B92" s="17" t="str">
        <f t="shared" si="4"/>
        <v/>
      </c>
      <c r="C92" s="17" t="str">
        <f t="shared" si="7"/>
        <v/>
      </c>
      <c r="D92" s="17" t="str">
        <f t="shared" si="5"/>
        <v/>
      </c>
      <c r="E92" s="17" t="str">
        <f t="shared" si="6"/>
        <v/>
      </c>
      <c r="F92" s="18" t="str">
        <f>IF($A92="","",EDATE(data_inicial,Tabela2[[#This Row],[Mês]]))</f>
        <v/>
      </c>
    </row>
    <row r="93" spans="1:6" x14ac:dyDescent="0.3">
      <c r="A93" s="2" t="str">
        <f>IF(ROW(A93)&lt;=periodo+1, ROW(A93)-1, "")</f>
        <v/>
      </c>
      <c r="B93" s="17" t="str">
        <f t="shared" si="4"/>
        <v/>
      </c>
      <c r="C93" s="17" t="str">
        <f t="shared" si="7"/>
        <v/>
      </c>
      <c r="D93" s="17" t="str">
        <f t="shared" si="5"/>
        <v/>
      </c>
      <c r="E93" s="17" t="str">
        <f t="shared" si="6"/>
        <v/>
      </c>
      <c r="F93" s="18" t="str">
        <f>IF($A93="","",EDATE(data_inicial,Tabela2[[#This Row],[Mês]]))</f>
        <v/>
      </c>
    </row>
    <row r="94" spans="1:6" x14ac:dyDescent="0.3">
      <c r="A94" s="2" t="str">
        <f>IF(ROW(A94)&lt;=periodo+1, ROW(A94)-1, "")</f>
        <v/>
      </c>
      <c r="B94" s="17" t="str">
        <f t="shared" si="4"/>
        <v/>
      </c>
      <c r="C94" s="17" t="str">
        <f t="shared" si="7"/>
        <v/>
      </c>
      <c r="D94" s="17" t="str">
        <f t="shared" si="5"/>
        <v/>
      </c>
      <c r="E94" s="17" t="str">
        <f t="shared" si="6"/>
        <v/>
      </c>
      <c r="F94" s="18" t="str">
        <f>IF($A94="","",EDATE(data_inicial,Tabela2[[#This Row],[Mês]]))</f>
        <v/>
      </c>
    </row>
    <row r="95" spans="1:6" x14ac:dyDescent="0.3">
      <c r="A95" s="2" t="str">
        <f>IF(ROW(A95)&lt;=periodo+1, ROW(A95)-1, "")</f>
        <v/>
      </c>
      <c r="B95" s="17" t="str">
        <f t="shared" si="4"/>
        <v/>
      </c>
      <c r="C95" s="17" t="str">
        <f t="shared" si="7"/>
        <v/>
      </c>
      <c r="D95" s="17" t="str">
        <f t="shared" si="5"/>
        <v/>
      </c>
      <c r="E95" s="17" t="str">
        <f t="shared" si="6"/>
        <v/>
      </c>
      <c r="F95" s="18" t="str">
        <f>IF($A95="","",EDATE(data_inicial,Tabela2[[#This Row],[Mês]]))</f>
        <v/>
      </c>
    </row>
    <row r="96" spans="1:6" x14ac:dyDescent="0.3">
      <c r="A96" s="2" t="str">
        <f>IF(ROW(A96)&lt;=periodo+1, ROW(A96)-1, "")</f>
        <v/>
      </c>
      <c r="B96" s="17" t="str">
        <f t="shared" si="4"/>
        <v/>
      </c>
      <c r="C96" s="17" t="str">
        <f t="shared" si="7"/>
        <v/>
      </c>
      <c r="D96" s="17" t="str">
        <f t="shared" si="5"/>
        <v/>
      </c>
      <c r="E96" s="17" t="str">
        <f t="shared" si="6"/>
        <v/>
      </c>
      <c r="F96" s="18" t="str">
        <f>IF($A96="","",EDATE(data_inicial,Tabela2[[#This Row],[Mês]]))</f>
        <v/>
      </c>
    </row>
    <row r="97" spans="1:6" x14ac:dyDescent="0.3">
      <c r="A97" s="2" t="str">
        <f>IF(ROW(A97)&lt;=periodo+1, ROW(A97)-1, "")</f>
        <v/>
      </c>
      <c r="B97" s="17" t="str">
        <f t="shared" si="4"/>
        <v/>
      </c>
      <c r="C97" s="17" t="str">
        <f t="shared" si="7"/>
        <v/>
      </c>
      <c r="D97" s="17" t="str">
        <f t="shared" si="5"/>
        <v/>
      </c>
      <c r="E97" s="17" t="str">
        <f t="shared" si="6"/>
        <v/>
      </c>
      <c r="F97" s="18" t="str">
        <f>IF($A97="","",EDATE(data_inicial,Tabela2[[#This Row],[Mês]]))</f>
        <v/>
      </c>
    </row>
    <row r="98" spans="1:6" x14ac:dyDescent="0.3">
      <c r="A98" s="2" t="str">
        <f>IF(ROW(A98)&lt;=periodo+1, ROW(A98)-1, "")</f>
        <v/>
      </c>
      <c r="B98" s="17" t="str">
        <f t="shared" si="4"/>
        <v/>
      </c>
      <c r="C98" s="17" t="str">
        <f t="shared" si="7"/>
        <v/>
      </c>
      <c r="D98" s="17" t="str">
        <f t="shared" si="5"/>
        <v/>
      </c>
      <c r="E98" s="17" t="str">
        <f t="shared" si="6"/>
        <v/>
      </c>
      <c r="F98" s="18" t="str">
        <f>IF($A98="","",EDATE(data_inicial,Tabela2[[#This Row],[Mês]]))</f>
        <v/>
      </c>
    </row>
    <row r="99" spans="1:6" x14ac:dyDescent="0.3">
      <c r="A99" s="2" t="str">
        <f>IF(ROW(A99)&lt;=periodo+1, ROW(A99)-1, "")</f>
        <v/>
      </c>
      <c r="B99" s="17" t="str">
        <f t="shared" si="4"/>
        <v/>
      </c>
      <c r="C99" s="17" t="str">
        <f t="shared" si="7"/>
        <v/>
      </c>
      <c r="D99" s="17" t="str">
        <f t="shared" si="5"/>
        <v/>
      </c>
      <c r="E99" s="17" t="str">
        <f t="shared" si="6"/>
        <v/>
      </c>
      <c r="F99" s="18" t="str">
        <f>IF($A99="","",EDATE(data_inicial,Tabela2[[#This Row],[Mês]]))</f>
        <v/>
      </c>
    </row>
    <row r="100" spans="1:6" x14ac:dyDescent="0.3">
      <c r="A100" s="2" t="str">
        <f>IF(ROW(A100)&lt;=periodo+1, ROW(A100)-1, "")</f>
        <v/>
      </c>
      <c r="B100" s="17" t="str">
        <f t="shared" si="4"/>
        <v/>
      </c>
      <c r="C100" s="17" t="str">
        <f t="shared" si="7"/>
        <v/>
      </c>
      <c r="D100" s="17" t="str">
        <f t="shared" si="5"/>
        <v/>
      </c>
      <c r="E100" s="17" t="str">
        <f t="shared" si="6"/>
        <v/>
      </c>
      <c r="F100" s="18" t="str">
        <f>IF($A100="","",EDATE(data_inicial,Tabela2[[#This Row],[Mês]]))</f>
        <v/>
      </c>
    </row>
    <row r="101" spans="1:6" x14ac:dyDescent="0.3">
      <c r="A101" s="2" t="str">
        <f>IF(ROW(A101)&lt;=periodo+1, ROW(A101)-1, "")</f>
        <v/>
      </c>
      <c r="B101" s="17" t="str">
        <f t="shared" si="4"/>
        <v/>
      </c>
      <c r="C101" s="17" t="str">
        <f t="shared" si="7"/>
        <v/>
      </c>
      <c r="D101" s="17" t="str">
        <f t="shared" si="5"/>
        <v/>
      </c>
      <c r="E101" s="17" t="str">
        <f t="shared" si="6"/>
        <v/>
      </c>
      <c r="F101" s="18" t="str">
        <f>IF($A101="","",EDATE(data_inicial,Tabela2[[#This Row],[Mês]]))</f>
        <v/>
      </c>
    </row>
    <row r="102" spans="1:6" x14ac:dyDescent="0.3">
      <c r="A102" s="2" t="str">
        <f>IF(ROW(A102)&lt;=periodo+1, ROW(A102)-1, "")</f>
        <v/>
      </c>
      <c r="B102" s="17" t="str">
        <f t="shared" si="4"/>
        <v/>
      </c>
      <c r="C102" s="17" t="str">
        <f t="shared" si="7"/>
        <v/>
      </c>
      <c r="D102" s="17" t="str">
        <f t="shared" si="5"/>
        <v/>
      </c>
      <c r="E102" s="17" t="str">
        <f t="shared" si="6"/>
        <v/>
      </c>
      <c r="F102" s="18" t="str">
        <f>IF($A102="","",EDATE(data_inicial,Tabela2[[#This Row],[Mês]]))</f>
        <v/>
      </c>
    </row>
    <row r="103" spans="1:6" x14ac:dyDescent="0.3">
      <c r="A103" s="2" t="str">
        <f>IF(ROW(A103)&lt;=periodo+1, ROW(A103)-1, "")</f>
        <v/>
      </c>
      <c r="B103" s="17" t="str">
        <f t="shared" si="4"/>
        <v/>
      </c>
      <c r="C103" s="17" t="str">
        <f t="shared" si="7"/>
        <v/>
      </c>
      <c r="D103" s="17" t="str">
        <f t="shared" si="5"/>
        <v/>
      </c>
      <c r="E103" s="17" t="str">
        <f t="shared" si="6"/>
        <v/>
      </c>
      <c r="F103" s="18" t="str">
        <f>IF($A103="","",EDATE(data_inicial,Tabela2[[#This Row],[Mês]]))</f>
        <v/>
      </c>
    </row>
    <row r="104" spans="1:6" x14ac:dyDescent="0.3">
      <c r="A104" s="2" t="str">
        <f>IF(ROW(A104)&lt;=periodo+1, ROW(A104)-1, "")</f>
        <v/>
      </c>
      <c r="B104" s="17" t="str">
        <f t="shared" si="4"/>
        <v/>
      </c>
      <c r="C104" s="17" t="str">
        <f t="shared" si="7"/>
        <v/>
      </c>
      <c r="D104" s="17" t="str">
        <f t="shared" si="5"/>
        <v/>
      </c>
      <c r="E104" s="17" t="str">
        <f t="shared" si="6"/>
        <v/>
      </c>
      <c r="F104" s="18" t="str">
        <f>IF($A104="","",EDATE(data_inicial,Tabela2[[#This Row],[Mês]]))</f>
        <v/>
      </c>
    </row>
    <row r="105" spans="1:6" x14ac:dyDescent="0.3">
      <c r="A105" s="2" t="str">
        <f>IF(ROW(A105)&lt;=periodo+1, ROW(A105)-1, "")</f>
        <v/>
      </c>
      <c r="B105" s="17" t="str">
        <f t="shared" si="4"/>
        <v/>
      </c>
      <c r="C105" s="17" t="str">
        <f t="shared" si="7"/>
        <v/>
      </c>
      <c r="D105" s="17" t="str">
        <f t="shared" si="5"/>
        <v/>
      </c>
      <c r="E105" s="17" t="str">
        <f t="shared" si="6"/>
        <v/>
      </c>
      <c r="F105" s="18" t="str">
        <f>IF($A105="","",EDATE(data_inicial,Tabela2[[#This Row],[Mês]]))</f>
        <v/>
      </c>
    </row>
    <row r="106" spans="1:6" x14ac:dyDescent="0.3">
      <c r="A106" s="2" t="str">
        <f>IF(ROW(A106)&lt;=periodo+1, ROW(A106)-1, "")</f>
        <v/>
      </c>
      <c r="B106" s="17" t="str">
        <f t="shared" si="4"/>
        <v/>
      </c>
      <c r="C106" s="17" t="str">
        <f t="shared" si="7"/>
        <v/>
      </c>
      <c r="D106" s="17" t="str">
        <f t="shared" si="5"/>
        <v/>
      </c>
      <c r="E106" s="17" t="str">
        <f t="shared" si="6"/>
        <v/>
      </c>
      <c r="F106" s="18" t="str">
        <f>IF($A106="","",EDATE(data_inicial,Tabela2[[#This Row],[Mês]]))</f>
        <v/>
      </c>
    </row>
    <row r="107" spans="1:6" x14ac:dyDescent="0.3">
      <c r="A107" s="2" t="str">
        <f>IF(ROW(A107)&lt;=periodo+1, ROW(A107)-1, "")</f>
        <v/>
      </c>
      <c r="B107" s="17" t="str">
        <f t="shared" si="4"/>
        <v/>
      </c>
      <c r="C107" s="17" t="str">
        <f t="shared" si="7"/>
        <v/>
      </c>
      <c r="D107" s="17" t="str">
        <f t="shared" si="5"/>
        <v/>
      </c>
      <c r="E107" s="17" t="str">
        <f t="shared" si="6"/>
        <v/>
      </c>
      <c r="F107" s="18" t="str">
        <f>IF($A107="","",EDATE(data_inicial,Tabela2[[#This Row],[Mês]]))</f>
        <v/>
      </c>
    </row>
    <row r="108" spans="1:6" x14ac:dyDescent="0.3">
      <c r="A108" s="2" t="str">
        <f>IF(ROW(A108)&lt;=periodo+1, ROW(A108)-1, "")</f>
        <v/>
      </c>
      <c r="B108" s="17" t="str">
        <f t="shared" si="4"/>
        <v/>
      </c>
      <c r="C108" s="17" t="str">
        <f t="shared" si="7"/>
        <v/>
      </c>
      <c r="D108" s="17" t="str">
        <f t="shared" si="5"/>
        <v/>
      </c>
      <c r="E108" s="17" t="str">
        <f t="shared" si="6"/>
        <v/>
      </c>
      <c r="F108" s="18" t="str">
        <f>IF($A108="","",EDATE(data_inicial,Tabela2[[#This Row],[Mês]]))</f>
        <v/>
      </c>
    </row>
    <row r="109" spans="1:6" x14ac:dyDescent="0.3">
      <c r="A109" s="2" t="str">
        <f>IF(ROW(A109)&lt;=periodo+1, ROW(A109)-1, "")</f>
        <v/>
      </c>
      <c r="B109" s="17" t="str">
        <f t="shared" si="4"/>
        <v/>
      </c>
      <c r="C109" s="17" t="str">
        <f t="shared" si="7"/>
        <v/>
      </c>
      <c r="D109" s="17" t="str">
        <f t="shared" si="5"/>
        <v/>
      </c>
      <c r="E109" s="17" t="str">
        <f t="shared" si="6"/>
        <v/>
      </c>
      <c r="F109" s="18" t="str">
        <f>IF($A109="","",EDATE(data_inicial,Tabela2[[#This Row],[Mês]]))</f>
        <v/>
      </c>
    </row>
    <row r="110" spans="1:6" x14ac:dyDescent="0.3">
      <c r="A110" s="2" t="str">
        <f>IF(ROW(A110)&lt;=periodo+1, ROW(A110)-1, "")</f>
        <v/>
      </c>
      <c r="B110" s="17" t="str">
        <f t="shared" si="4"/>
        <v/>
      </c>
      <c r="C110" s="17" t="str">
        <f t="shared" si="7"/>
        <v/>
      </c>
      <c r="D110" s="17" t="str">
        <f t="shared" si="5"/>
        <v/>
      </c>
      <c r="E110" s="17" t="str">
        <f t="shared" si="6"/>
        <v/>
      </c>
      <c r="F110" s="18" t="str">
        <f>IF($A110="","",EDATE(data_inicial,Tabela2[[#This Row],[Mês]]))</f>
        <v/>
      </c>
    </row>
    <row r="111" spans="1:6" x14ac:dyDescent="0.3">
      <c r="A111" s="2" t="str">
        <f>IF(ROW(A111)&lt;=periodo+1, ROW(A111)-1, "")</f>
        <v/>
      </c>
      <c r="B111" s="17" t="str">
        <f t="shared" si="4"/>
        <v/>
      </c>
      <c r="C111" s="17" t="str">
        <f t="shared" si="7"/>
        <v/>
      </c>
      <c r="D111" s="17" t="str">
        <f t="shared" si="5"/>
        <v/>
      </c>
      <c r="E111" s="17" t="str">
        <f t="shared" si="6"/>
        <v/>
      </c>
      <c r="F111" s="18" t="str">
        <f>IF($A111="","",EDATE(data_inicial,Tabela2[[#This Row],[Mês]]))</f>
        <v/>
      </c>
    </row>
    <row r="112" spans="1:6" x14ac:dyDescent="0.3">
      <c r="A112" s="2" t="str">
        <f>IF(ROW(A112)&lt;=periodo+1, ROW(A112)-1, "")</f>
        <v/>
      </c>
      <c r="B112" s="17" t="str">
        <f t="shared" si="4"/>
        <v/>
      </c>
      <c r="C112" s="17" t="str">
        <f t="shared" si="7"/>
        <v/>
      </c>
      <c r="D112" s="17" t="str">
        <f t="shared" si="5"/>
        <v/>
      </c>
      <c r="E112" s="17" t="str">
        <f t="shared" si="6"/>
        <v/>
      </c>
      <c r="F112" s="18" t="str">
        <f>IF($A112="","",EDATE(data_inicial,Tabela2[[#This Row],[Mês]]))</f>
        <v/>
      </c>
    </row>
    <row r="113" spans="1:6" x14ac:dyDescent="0.3">
      <c r="A113" s="2" t="str">
        <f>IF(ROW(A113)&lt;=periodo+1, ROW(A113)-1, "")</f>
        <v/>
      </c>
      <c r="B113" s="17" t="str">
        <f t="shared" si="4"/>
        <v/>
      </c>
      <c r="C113" s="17" t="str">
        <f t="shared" si="7"/>
        <v/>
      </c>
      <c r="D113" s="17" t="str">
        <f t="shared" si="5"/>
        <v/>
      </c>
      <c r="E113" s="17" t="str">
        <f t="shared" si="6"/>
        <v/>
      </c>
      <c r="F113" s="18" t="str">
        <f>IF($A113="","",EDATE(data_inicial,Tabela2[[#This Row],[Mês]]))</f>
        <v/>
      </c>
    </row>
    <row r="114" spans="1:6" x14ac:dyDescent="0.3">
      <c r="A114" s="2" t="str">
        <f>IF(ROW(A114)&lt;=periodo+1, ROW(A114)-1, "")</f>
        <v/>
      </c>
      <c r="B114" s="17" t="str">
        <f t="shared" si="4"/>
        <v/>
      </c>
      <c r="C114" s="17" t="str">
        <f t="shared" si="7"/>
        <v/>
      </c>
      <c r="D114" s="17" t="str">
        <f t="shared" si="5"/>
        <v/>
      </c>
      <c r="E114" s="17" t="str">
        <f t="shared" si="6"/>
        <v/>
      </c>
      <c r="F114" s="18" t="str">
        <f>IF($A114="","",EDATE(data_inicial,Tabela2[[#This Row],[Mês]]))</f>
        <v/>
      </c>
    </row>
    <row r="115" spans="1:6" x14ac:dyDescent="0.3">
      <c r="A115" s="2" t="str">
        <f>IF(ROW(A115)&lt;=periodo+1, ROW(A115)-1, "")</f>
        <v/>
      </c>
      <c r="B115" s="17" t="str">
        <f t="shared" si="4"/>
        <v/>
      </c>
      <c r="C115" s="17" t="str">
        <f t="shared" si="7"/>
        <v/>
      </c>
      <c r="D115" s="17" t="str">
        <f t="shared" si="5"/>
        <v/>
      </c>
      <c r="E115" s="17" t="str">
        <f t="shared" si="6"/>
        <v/>
      </c>
      <c r="F115" s="18" t="str">
        <f>IF($A115="","",EDATE(data_inicial,Tabela2[[#This Row],[Mês]]))</f>
        <v/>
      </c>
    </row>
    <row r="116" spans="1:6" x14ac:dyDescent="0.3">
      <c r="A116" s="2" t="str">
        <f>IF(ROW(A116)&lt;=periodo+1, ROW(A116)-1, "")</f>
        <v/>
      </c>
      <c r="B116" s="17" t="str">
        <f t="shared" si="4"/>
        <v/>
      </c>
      <c r="C116" s="17" t="str">
        <f t="shared" si="7"/>
        <v/>
      </c>
      <c r="D116" s="17" t="str">
        <f t="shared" si="5"/>
        <v/>
      </c>
      <c r="E116" s="17" t="str">
        <f t="shared" si="6"/>
        <v/>
      </c>
      <c r="F116" s="18" t="str">
        <f>IF($A116="","",EDATE(data_inicial,Tabela2[[#This Row],[Mês]]))</f>
        <v/>
      </c>
    </row>
    <row r="117" spans="1:6" x14ac:dyDescent="0.3">
      <c r="A117" s="2" t="str">
        <f>IF(ROW(A117)&lt;=periodo+1, ROW(A117)-1, "")</f>
        <v/>
      </c>
      <c r="B117" s="17" t="str">
        <f t="shared" si="4"/>
        <v/>
      </c>
      <c r="C117" s="17" t="str">
        <f t="shared" si="7"/>
        <v/>
      </c>
      <c r="D117" s="17" t="str">
        <f t="shared" si="5"/>
        <v/>
      </c>
      <c r="E117" s="17" t="str">
        <f t="shared" si="6"/>
        <v/>
      </c>
      <c r="F117" s="18" t="str">
        <f>IF($A117="","",EDATE(data_inicial,Tabela2[[#This Row],[Mês]]))</f>
        <v/>
      </c>
    </row>
    <row r="118" spans="1:6" x14ac:dyDescent="0.3">
      <c r="A118" s="2" t="str">
        <f>IF(ROW(A118)&lt;=periodo+1, ROW(A118)-1, "")</f>
        <v/>
      </c>
      <c r="B118" s="17" t="str">
        <f t="shared" si="4"/>
        <v/>
      </c>
      <c r="C118" s="17" t="str">
        <f t="shared" si="7"/>
        <v/>
      </c>
      <c r="D118" s="17" t="str">
        <f t="shared" si="5"/>
        <v/>
      </c>
      <c r="E118" s="17" t="str">
        <f t="shared" si="6"/>
        <v/>
      </c>
      <c r="F118" s="18" t="str">
        <f>IF($A118="","",EDATE(data_inicial,Tabela2[[#This Row],[Mês]]))</f>
        <v/>
      </c>
    </row>
    <row r="119" spans="1:6" x14ac:dyDescent="0.3">
      <c r="A119" s="2" t="str">
        <f>IF(ROW(A119)&lt;=periodo+1, ROW(A119)-1, "")</f>
        <v/>
      </c>
      <c r="B119" s="17" t="str">
        <f t="shared" si="4"/>
        <v/>
      </c>
      <c r="C119" s="17" t="str">
        <f t="shared" si="7"/>
        <v/>
      </c>
      <c r="D119" s="17" t="str">
        <f t="shared" si="5"/>
        <v/>
      </c>
      <c r="E119" s="17" t="str">
        <f t="shared" si="6"/>
        <v/>
      </c>
      <c r="F119" s="18" t="str">
        <f>IF($A119="","",EDATE(data_inicial,Tabela2[[#This Row],[Mês]]))</f>
        <v/>
      </c>
    </row>
    <row r="120" spans="1:6" x14ac:dyDescent="0.3">
      <c r="A120" s="2" t="str">
        <f>IF(ROW(A120)&lt;=periodo+1, ROW(A120)-1, "")</f>
        <v/>
      </c>
      <c r="B120" s="17" t="str">
        <f t="shared" si="4"/>
        <v/>
      </c>
      <c r="C120" s="17" t="str">
        <f t="shared" si="7"/>
        <v/>
      </c>
      <c r="D120" s="17" t="str">
        <f t="shared" si="5"/>
        <v/>
      </c>
      <c r="E120" s="17" t="str">
        <f t="shared" si="6"/>
        <v/>
      </c>
      <c r="F120" s="18" t="str">
        <f>IF($A120="","",EDATE(data_inicial,Tabela2[[#This Row],[Mês]]))</f>
        <v/>
      </c>
    </row>
    <row r="121" spans="1:6" x14ac:dyDescent="0.3">
      <c r="A121" s="2" t="str">
        <f>IF(ROW(A121)&lt;=periodo+1, ROW(A121)-1, "")</f>
        <v/>
      </c>
      <c r="B121" s="17" t="str">
        <f t="shared" si="4"/>
        <v/>
      </c>
      <c r="C121" s="17" t="str">
        <f t="shared" si="7"/>
        <v/>
      </c>
      <c r="D121" s="17" t="str">
        <f t="shared" si="5"/>
        <v/>
      </c>
      <c r="E121" s="17" t="str">
        <f t="shared" si="6"/>
        <v/>
      </c>
      <c r="F121" s="18" t="str">
        <f>IF($A121="","",EDATE(data_inicial,Tabela2[[#This Row],[Mês]]))</f>
        <v/>
      </c>
    </row>
    <row r="122" spans="1:6" x14ac:dyDescent="0.3">
      <c r="A122" s="2" t="str">
        <f>IF(ROW(A122)&lt;=periodo+1, ROW(A122)-1, "")</f>
        <v/>
      </c>
      <c r="B122" s="17" t="str">
        <f t="shared" si="4"/>
        <v/>
      </c>
      <c r="C122" s="17" t="str">
        <f t="shared" si="7"/>
        <v/>
      </c>
      <c r="D122" s="17" t="str">
        <f t="shared" si="5"/>
        <v/>
      </c>
      <c r="E122" s="17" t="str">
        <f t="shared" si="6"/>
        <v/>
      </c>
      <c r="F122" s="18" t="str">
        <f>IF($A122="","",EDATE(data_inicial,Tabela2[[#This Row],[Mês]]))</f>
        <v/>
      </c>
    </row>
    <row r="123" spans="1:6" x14ac:dyDescent="0.3">
      <c r="A123" s="2" t="str">
        <f>IF(ROW(A123)&lt;=periodo+1, ROW(A123)-1, "")</f>
        <v/>
      </c>
      <c r="B123" s="17" t="str">
        <f t="shared" si="4"/>
        <v/>
      </c>
      <c r="C123" s="17" t="str">
        <f t="shared" si="7"/>
        <v/>
      </c>
      <c r="D123" s="17" t="str">
        <f t="shared" si="5"/>
        <v/>
      </c>
      <c r="E123" s="17" t="str">
        <f t="shared" si="6"/>
        <v/>
      </c>
      <c r="F123" s="18" t="str">
        <f>IF($A123="","",EDATE(data_inicial,Tabela2[[#This Row],[Mês]]))</f>
        <v/>
      </c>
    </row>
    <row r="124" spans="1:6" x14ac:dyDescent="0.3">
      <c r="A124" s="2" t="str">
        <f>IF(ROW(A124)&lt;=periodo+1, ROW(A124)-1, "")</f>
        <v/>
      </c>
      <c r="B124" s="17" t="str">
        <f t="shared" si="4"/>
        <v/>
      </c>
      <c r="C124" s="17" t="str">
        <f t="shared" si="7"/>
        <v/>
      </c>
      <c r="D124" s="17" t="str">
        <f t="shared" si="5"/>
        <v/>
      </c>
      <c r="E124" s="17" t="str">
        <f t="shared" si="6"/>
        <v/>
      </c>
      <c r="F124" s="18" t="str">
        <f>IF($A124="","",EDATE(data_inicial,Tabela2[[#This Row],[Mês]]))</f>
        <v/>
      </c>
    </row>
    <row r="125" spans="1:6" x14ac:dyDescent="0.3">
      <c r="A125" s="2" t="str">
        <f>IF(ROW(A125)&lt;=periodo+1, ROW(A125)-1, "")</f>
        <v/>
      </c>
      <c r="B125" s="17" t="str">
        <f t="shared" si="4"/>
        <v/>
      </c>
      <c r="C125" s="17" t="str">
        <f t="shared" si="7"/>
        <v/>
      </c>
      <c r="D125" s="17" t="str">
        <f t="shared" si="5"/>
        <v/>
      </c>
      <c r="E125" s="17" t="str">
        <f t="shared" si="6"/>
        <v/>
      </c>
      <c r="F125" s="18" t="str">
        <f>IF($A125="","",EDATE(data_inicial,Tabela2[[#This Row],[Mês]]))</f>
        <v/>
      </c>
    </row>
    <row r="126" spans="1:6" x14ac:dyDescent="0.3">
      <c r="A126" s="2" t="str">
        <f>IF(ROW(A126)&lt;=periodo+1, ROW(A126)-1, "")</f>
        <v/>
      </c>
      <c r="B126" s="17" t="str">
        <f t="shared" si="4"/>
        <v/>
      </c>
      <c r="C126" s="17" t="str">
        <f t="shared" si="7"/>
        <v/>
      </c>
      <c r="D126" s="17" t="str">
        <f t="shared" si="5"/>
        <v/>
      </c>
      <c r="E126" s="17" t="str">
        <f t="shared" si="6"/>
        <v/>
      </c>
      <c r="F126" s="18" t="str">
        <f>IF($A126="","",EDATE(data_inicial,Tabela2[[#This Row],[Mês]]))</f>
        <v/>
      </c>
    </row>
    <row r="127" spans="1:6" x14ac:dyDescent="0.3">
      <c r="A127" s="2" t="str">
        <f>IF(ROW(A127)&lt;=periodo+1, ROW(A127)-1, "")</f>
        <v/>
      </c>
      <c r="B127" s="17" t="str">
        <f t="shared" si="4"/>
        <v/>
      </c>
      <c r="C127" s="17" t="str">
        <f t="shared" si="7"/>
        <v/>
      </c>
      <c r="D127" s="17" t="str">
        <f t="shared" si="5"/>
        <v/>
      </c>
      <c r="E127" s="17" t="str">
        <f t="shared" si="6"/>
        <v/>
      </c>
      <c r="F127" s="18" t="str">
        <f>IF($A127="","",EDATE(data_inicial,Tabela2[[#This Row],[Mês]]))</f>
        <v/>
      </c>
    </row>
    <row r="128" spans="1:6" x14ac:dyDescent="0.3">
      <c r="A128" s="2" t="str">
        <f>IF(ROW(A128)&lt;=periodo+1, ROW(A128)-1, "")</f>
        <v/>
      </c>
      <c r="B128" s="17" t="str">
        <f t="shared" si="4"/>
        <v/>
      </c>
      <c r="C128" s="17" t="str">
        <f t="shared" si="7"/>
        <v/>
      </c>
      <c r="D128" s="17" t="str">
        <f t="shared" si="5"/>
        <v/>
      </c>
      <c r="E128" s="17" t="str">
        <f t="shared" si="6"/>
        <v/>
      </c>
      <c r="F128" s="18" t="str">
        <f>IF($A128="","",EDATE(data_inicial,Tabela2[[#This Row],[Mês]]))</f>
        <v/>
      </c>
    </row>
    <row r="129" spans="1:6" x14ac:dyDescent="0.3">
      <c r="A129" s="2" t="str">
        <f>IF(ROW(A129)&lt;=periodo+1, ROW(A129)-1, "")</f>
        <v/>
      </c>
      <c r="B129" s="17" t="str">
        <f t="shared" si="4"/>
        <v/>
      </c>
      <c r="C129" s="17" t="str">
        <f t="shared" si="7"/>
        <v/>
      </c>
      <c r="D129" s="17" t="str">
        <f t="shared" si="5"/>
        <v/>
      </c>
      <c r="E129" s="17" t="str">
        <f t="shared" si="6"/>
        <v/>
      </c>
      <c r="F129" s="18" t="str">
        <f>IF($A129="","",EDATE(data_inicial,Tabela2[[#This Row],[Mês]]))</f>
        <v/>
      </c>
    </row>
    <row r="130" spans="1:6" x14ac:dyDescent="0.3">
      <c r="A130" s="2" t="str">
        <f>IF(ROW(A130)&lt;=periodo+1, ROW(A130)-1, "")</f>
        <v/>
      </c>
      <c r="B130" s="17" t="str">
        <f t="shared" ref="B130:B193" si="8">IF($A130="","",aporte)</f>
        <v/>
      </c>
      <c r="C130" s="17" t="str">
        <f t="shared" si="7"/>
        <v/>
      </c>
      <c r="D130" s="17" t="str">
        <f t="shared" ref="D130:D193" si="9">IF($A130="","",C130*taxa)</f>
        <v/>
      </c>
      <c r="E130" s="17" t="str">
        <f t="shared" ref="E130:E193" si="10">IF($A130="","",(C130+B130)+D130)</f>
        <v/>
      </c>
      <c r="F130" s="18" t="str">
        <f>IF($A130="","",EDATE(data_inicial,Tabela2[[#This Row],[Mês]]))</f>
        <v/>
      </c>
    </row>
    <row r="131" spans="1:6" x14ac:dyDescent="0.3">
      <c r="A131" s="2" t="str">
        <f>IF(ROW(A131)&lt;=periodo+1, ROW(A131)-1, "")</f>
        <v/>
      </c>
      <c r="B131" s="17" t="str">
        <f t="shared" si="8"/>
        <v/>
      </c>
      <c r="C131" s="17" t="str">
        <f t="shared" ref="C131:C194" si="11">IF($A131="","",IF($A131=1,0,E130))</f>
        <v/>
      </c>
      <c r="D131" s="17" t="str">
        <f t="shared" si="9"/>
        <v/>
      </c>
      <c r="E131" s="17" t="str">
        <f t="shared" si="10"/>
        <v/>
      </c>
      <c r="F131" s="18" t="str">
        <f>IF($A131="","",EDATE(data_inicial,Tabela2[[#This Row],[Mês]]))</f>
        <v/>
      </c>
    </row>
    <row r="132" spans="1:6" x14ac:dyDescent="0.3">
      <c r="A132" s="2" t="str">
        <f>IF(ROW(A132)&lt;=periodo+1, ROW(A132)-1, "")</f>
        <v/>
      </c>
      <c r="B132" s="17" t="str">
        <f t="shared" si="8"/>
        <v/>
      </c>
      <c r="C132" s="17" t="str">
        <f t="shared" si="11"/>
        <v/>
      </c>
      <c r="D132" s="17" t="str">
        <f t="shared" si="9"/>
        <v/>
      </c>
      <c r="E132" s="17" t="str">
        <f t="shared" si="10"/>
        <v/>
      </c>
      <c r="F132" s="18" t="str">
        <f>IF($A132="","",EDATE(data_inicial,Tabela2[[#This Row],[Mês]]))</f>
        <v/>
      </c>
    </row>
    <row r="133" spans="1:6" x14ac:dyDescent="0.3">
      <c r="A133" s="2" t="str">
        <f>IF(ROW(A133)&lt;=periodo+1, ROW(A133)-1, "")</f>
        <v/>
      </c>
      <c r="B133" s="17" t="str">
        <f t="shared" si="8"/>
        <v/>
      </c>
      <c r="C133" s="17" t="str">
        <f t="shared" si="11"/>
        <v/>
      </c>
      <c r="D133" s="17" t="str">
        <f t="shared" si="9"/>
        <v/>
      </c>
      <c r="E133" s="17" t="str">
        <f t="shared" si="10"/>
        <v/>
      </c>
      <c r="F133" s="18" t="str">
        <f>IF($A133="","",EDATE(data_inicial,Tabela2[[#This Row],[Mês]]))</f>
        <v/>
      </c>
    </row>
    <row r="134" spans="1:6" x14ac:dyDescent="0.3">
      <c r="A134" s="2" t="str">
        <f>IF(ROW(A134)&lt;=periodo+1, ROW(A134)-1, "")</f>
        <v/>
      </c>
      <c r="B134" s="17" t="str">
        <f t="shared" si="8"/>
        <v/>
      </c>
      <c r="C134" s="17" t="str">
        <f t="shared" si="11"/>
        <v/>
      </c>
      <c r="D134" s="17" t="str">
        <f t="shared" si="9"/>
        <v/>
      </c>
      <c r="E134" s="17" t="str">
        <f t="shared" si="10"/>
        <v/>
      </c>
      <c r="F134" s="18" t="str">
        <f>IF($A134="","",EDATE(data_inicial,Tabela2[[#This Row],[Mês]]))</f>
        <v/>
      </c>
    </row>
    <row r="135" spans="1:6" x14ac:dyDescent="0.3">
      <c r="A135" s="2" t="str">
        <f>IF(ROW(A135)&lt;=periodo+1, ROW(A135)-1, "")</f>
        <v/>
      </c>
      <c r="B135" s="17" t="str">
        <f t="shared" si="8"/>
        <v/>
      </c>
      <c r="C135" s="17" t="str">
        <f t="shared" si="11"/>
        <v/>
      </c>
      <c r="D135" s="17" t="str">
        <f t="shared" si="9"/>
        <v/>
      </c>
      <c r="E135" s="17" t="str">
        <f t="shared" si="10"/>
        <v/>
      </c>
      <c r="F135" s="18" t="str">
        <f>IF($A135="","",EDATE(data_inicial,Tabela2[[#This Row],[Mês]]))</f>
        <v/>
      </c>
    </row>
    <row r="136" spans="1:6" x14ac:dyDescent="0.3">
      <c r="A136" s="2" t="str">
        <f>IF(ROW(A136)&lt;=periodo+1, ROW(A136)-1, "")</f>
        <v/>
      </c>
      <c r="B136" s="17" t="str">
        <f t="shared" si="8"/>
        <v/>
      </c>
      <c r="C136" s="17" t="str">
        <f t="shared" si="11"/>
        <v/>
      </c>
      <c r="D136" s="17" t="str">
        <f t="shared" si="9"/>
        <v/>
      </c>
      <c r="E136" s="17" t="str">
        <f t="shared" si="10"/>
        <v/>
      </c>
      <c r="F136" s="18" t="str">
        <f>IF($A136="","",EDATE(data_inicial,Tabela2[[#This Row],[Mês]]))</f>
        <v/>
      </c>
    </row>
    <row r="137" spans="1:6" x14ac:dyDescent="0.3">
      <c r="A137" s="2" t="str">
        <f>IF(ROW(A137)&lt;=periodo+1, ROW(A137)-1, "")</f>
        <v/>
      </c>
      <c r="B137" s="17" t="str">
        <f t="shared" si="8"/>
        <v/>
      </c>
      <c r="C137" s="17" t="str">
        <f t="shared" si="11"/>
        <v/>
      </c>
      <c r="D137" s="17" t="str">
        <f t="shared" si="9"/>
        <v/>
      </c>
      <c r="E137" s="17" t="str">
        <f t="shared" si="10"/>
        <v/>
      </c>
      <c r="F137" s="18" t="str">
        <f>IF($A137="","",EDATE(data_inicial,Tabela2[[#This Row],[Mês]]))</f>
        <v/>
      </c>
    </row>
    <row r="138" spans="1:6" x14ac:dyDescent="0.3">
      <c r="A138" s="2" t="str">
        <f>IF(ROW(A138)&lt;=periodo+1, ROW(A138)-1, "")</f>
        <v/>
      </c>
      <c r="B138" s="17" t="str">
        <f t="shared" si="8"/>
        <v/>
      </c>
      <c r="C138" s="17" t="str">
        <f t="shared" si="11"/>
        <v/>
      </c>
      <c r="D138" s="17" t="str">
        <f t="shared" si="9"/>
        <v/>
      </c>
      <c r="E138" s="17" t="str">
        <f t="shared" si="10"/>
        <v/>
      </c>
      <c r="F138" s="18" t="str">
        <f>IF($A138="","",EDATE(data_inicial,Tabela2[[#This Row],[Mês]]))</f>
        <v/>
      </c>
    </row>
    <row r="139" spans="1:6" x14ac:dyDescent="0.3">
      <c r="A139" s="2" t="str">
        <f>IF(ROW(A139)&lt;=periodo+1, ROW(A139)-1, "")</f>
        <v/>
      </c>
      <c r="B139" s="17" t="str">
        <f t="shared" si="8"/>
        <v/>
      </c>
      <c r="C139" s="17" t="str">
        <f t="shared" si="11"/>
        <v/>
      </c>
      <c r="D139" s="17" t="str">
        <f t="shared" si="9"/>
        <v/>
      </c>
      <c r="E139" s="17" t="str">
        <f t="shared" si="10"/>
        <v/>
      </c>
      <c r="F139" s="18" t="str">
        <f>IF($A139="","",EDATE(data_inicial,Tabela2[[#This Row],[Mês]]))</f>
        <v/>
      </c>
    </row>
    <row r="140" spans="1:6" x14ac:dyDescent="0.3">
      <c r="A140" s="2" t="str">
        <f>IF(ROW(A140)&lt;=periodo+1, ROW(A140)-1, "")</f>
        <v/>
      </c>
      <c r="B140" s="17" t="str">
        <f t="shared" si="8"/>
        <v/>
      </c>
      <c r="C140" s="17" t="str">
        <f t="shared" si="11"/>
        <v/>
      </c>
      <c r="D140" s="17" t="str">
        <f t="shared" si="9"/>
        <v/>
      </c>
      <c r="E140" s="17" t="str">
        <f t="shared" si="10"/>
        <v/>
      </c>
      <c r="F140" s="18" t="str">
        <f>IF($A140="","",EDATE(data_inicial,Tabela2[[#This Row],[Mês]]))</f>
        <v/>
      </c>
    </row>
    <row r="141" spans="1:6" x14ac:dyDescent="0.3">
      <c r="A141" s="2" t="str">
        <f>IF(ROW(A141)&lt;=periodo+1, ROW(A141)-1, "")</f>
        <v/>
      </c>
      <c r="B141" s="17" t="str">
        <f t="shared" si="8"/>
        <v/>
      </c>
      <c r="C141" s="17" t="str">
        <f t="shared" si="11"/>
        <v/>
      </c>
      <c r="D141" s="17" t="str">
        <f t="shared" si="9"/>
        <v/>
      </c>
      <c r="E141" s="17" t="str">
        <f t="shared" si="10"/>
        <v/>
      </c>
      <c r="F141" s="18" t="str">
        <f>IF($A141="","",EDATE(data_inicial,Tabela2[[#This Row],[Mês]]))</f>
        <v/>
      </c>
    </row>
    <row r="142" spans="1:6" x14ac:dyDescent="0.3">
      <c r="A142" s="2" t="str">
        <f>IF(ROW(A142)&lt;=periodo+1, ROW(A142)-1, "")</f>
        <v/>
      </c>
      <c r="B142" s="17" t="str">
        <f t="shared" si="8"/>
        <v/>
      </c>
      <c r="C142" s="17" t="str">
        <f t="shared" si="11"/>
        <v/>
      </c>
      <c r="D142" s="17" t="str">
        <f t="shared" si="9"/>
        <v/>
      </c>
      <c r="E142" s="17" t="str">
        <f t="shared" si="10"/>
        <v/>
      </c>
      <c r="F142" s="18" t="str">
        <f>IF($A142="","",EDATE(data_inicial,Tabela2[[#This Row],[Mês]]))</f>
        <v/>
      </c>
    </row>
    <row r="143" spans="1:6" x14ac:dyDescent="0.3">
      <c r="A143" s="2" t="str">
        <f>IF(ROW(A143)&lt;=periodo+1, ROW(A143)-1, "")</f>
        <v/>
      </c>
      <c r="B143" s="17" t="str">
        <f t="shared" si="8"/>
        <v/>
      </c>
      <c r="C143" s="17" t="str">
        <f t="shared" si="11"/>
        <v/>
      </c>
      <c r="D143" s="17" t="str">
        <f t="shared" si="9"/>
        <v/>
      </c>
      <c r="E143" s="17" t="str">
        <f t="shared" si="10"/>
        <v/>
      </c>
      <c r="F143" s="18" t="str">
        <f>IF($A143="","",EDATE(data_inicial,Tabela2[[#This Row],[Mês]]))</f>
        <v/>
      </c>
    </row>
    <row r="144" spans="1:6" x14ac:dyDescent="0.3">
      <c r="A144" s="2" t="str">
        <f>IF(ROW(A144)&lt;=periodo+1, ROW(A144)-1, "")</f>
        <v/>
      </c>
      <c r="B144" s="17" t="str">
        <f t="shared" si="8"/>
        <v/>
      </c>
      <c r="C144" s="17" t="str">
        <f t="shared" si="11"/>
        <v/>
      </c>
      <c r="D144" s="17" t="str">
        <f t="shared" si="9"/>
        <v/>
      </c>
      <c r="E144" s="17" t="str">
        <f t="shared" si="10"/>
        <v/>
      </c>
      <c r="F144" s="18" t="str">
        <f>IF($A144="","",EDATE(data_inicial,Tabela2[[#This Row],[Mês]]))</f>
        <v/>
      </c>
    </row>
    <row r="145" spans="1:6" x14ac:dyDescent="0.3">
      <c r="A145" s="2" t="str">
        <f>IF(ROW(A145)&lt;=periodo+1, ROW(A145)-1, "")</f>
        <v/>
      </c>
      <c r="B145" s="17" t="str">
        <f t="shared" si="8"/>
        <v/>
      </c>
      <c r="C145" s="17" t="str">
        <f t="shared" si="11"/>
        <v/>
      </c>
      <c r="D145" s="17" t="str">
        <f t="shared" si="9"/>
        <v/>
      </c>
      <c r="E145" s="17" t="str">
        <f t="shared" si="10"/>
        <v/>
      </c>
      <c r="F145" s="18" t="str">
        <f>IF($A145="","",EDATE(data_inicial,Tabela2[[#This Row],[Mês]]))</f>
        <v/>
      </c>
    </row>
    <row r="146" spans="1:6" x14ac:dyDescent="0.3">
      <c r="A146" s="2" t="str">
        <f>IF(ROW(A146)&lt;=periodo+1, ROW(A146)-1, "")</f>
        <v/>
      </c>
      <c r="B146" s="17" t="str">
        <f t="shared" si="8"/>
        <v/>
      </c>
      <c r="C146" s="17" t="str">
        <f t="shared" si="11"/>
        <v/>
      </c>
      <c r="D146" s="17" t="str">
        <f t="shared" si="9"/>
        <v/>
      </c>
      <c r="E146" s="17" t="str">
        <f t="shared" si="10"/>
        <v/>
      </c>
      <c r="F146" s="18" t="str">
        <f>IF($A146="","",EDATE(data_inicial,Tabela2[[#This Row],[Mês]]))</f>
        <v/>
      </c>
    </row>
    <row r="147" spans="1:6" x14ac:dyDescent="0.3">
      <c r="A147" s="2" t="str">
        <f>IF(ROW(A147)&lt;=periodo+1, ROW(A147)-1, "")</f>
        <v/>
      </c>
      <c r="B147" s="17" t="str">
        <f t="shared" si="8"/>
        <v/>
      </c>
      <c r="C147" s="17" t="str">
        <f t="shared" si="11"/>
        <v/>
      </c>
      <c r="D147" s="17" t="str">
        <f t="shared" si="9"/>
        <v/>
      </c>
      <c r="E147" s="17" t="str">
        <f t="shared" si="10"/>
        <v/>
      </c>
      <c r="F147" s="18" t="str">
        <f>IF($A147="","",EDATE(data_inicial,Tabela2[[#This Row],[Mês]]))</f>
        <v/>
      </c>
    </row>
    <row r="148" spans="1:6" x14ac:dyDescent="0.3">
      <c r="A148" s="2" t="str">
        <f>IF(ROW(A148)&lt;=periodo+1, ROW(A148)-1, "")</f>
        <v/>
      </c>
      <c r="B148" s="17" t="str">
        <f t="shared" si="8"/>
        <v/>
      </c>
      <c r="C148" s="17" t="str">
        <f t="shared" si="11"/>
        <v/>
      </c>
      <c r="D148" s="17" t="str">
        <f t="shared" si="9"/>
        <v/>
      </c>
      <c r="E148" s="17" t="str">
        <f t="shared" si="10"/>
        <v/>
      </c>
      <c r="F148" s="18" t="str">
        <f>IF($A148="","",EDATE(data_inicial,Tabela2[[#This Row],[Mês]]))</f>
        <v/>
      </c>
    </row>
    <row r="149" spans="1:6" x14ac:dyDescent="0.3">
      <c r="A149" s="2" t="str">
        <f>IF(ROW(A149)&lt;=periodo+1, ROW(A149)-1, "")</f>
        <v/>
      </c>
      <c r="B149" s="17" t="str">
        <f t="shared" si="8"/>
        <v/>
      </c>
      <c r="C149" s="17" t="str">
        <f t="shared" si="11"/>
        <v/>
      </c>
      <c r="D149" s="17" t="str">
        <f t="shared" si="9"/>
        <v/>
      </c>
      <c r="E149" s="17" t="str">
        <f t="shared" si="10"/>
        <v/>
      </c>
      <c r="F149" s="18" t="str">
        <f>IF($A149="","",EDATE(data_inicial,Tabela2[[#This Row],[Mês]]))</f>
        <v/>
      </c>
    </row>
    <row r="150" spans="1:6" x14ac:dyDescent="0.3">
      <c r="A150" s="2" t="str">
        <f>IF(ROW(A150)&lt;=periodo+1, ROW(A150)-1, "")</f>
        <v/>
      </c>
      <c r="B150" s="17" t="str">
        <f t="shared" si="8"/>
        <v/>
      </c>
      <c r="C150" s="17" t="str">
        <f t="shared" si="11"/>
        <v/>
      </c>
      <c r="D150" s="17" t="str">
        <f t="shared" si="9"/>
        <v/>
      </c>
      <c r="E150" s="17" t="str">
        <f t="shared" si="10"/>
        <v/>
      </c>
      <c r="F150" s="18" t="str">
        <f>IF($A150="","",EDATE(data_inicial,Tabela2[[#This Row],[Mês]]))</f>
        <v/>
      </c>
    </row>
    <row r="151" spans="1:6" x14ac:dyDescent="0.3">
      <c r="A151" s="2" t="str">
        <f>IF(ROW(A151)&lt;=periodo+1, ROW(A151)-1, "")</f>
        <v/>
      </c>
      <c r="B151" s="17" t="str">
        <f t="shared" si="8"/>
        <v/>
      </c>
      <c r="C151" s="17" t="str">
        <f t="shared" si="11"/>
        <v/>
      </c>
      <c r="D151" s="17" t="str">
        <f t="shared" si="9"/>
        <v/>
      </c>
      <c r="E151" s="17" t="str">
        <f t="shared" si="10"/>
        <v/>
      </c>
      <c r="F151" s="18" t="str">
        <f>IF($A151="","",EDATE(data_inicial,Tabela2[[#This Row],[Mês]]))</f>
        <v/>
      </c>
    </row>
    <row r="152" spans="1:6" x14ac:dyDescent="0.3">
      <c r="A152" s="2" t="str">
        <f>IF(ROW(A152)&lt;=periodo+1, ROW(A152)-1, "")</f>
        <v/>
      </c>
      <c r="B152" s="17" t="str">
        <f t="shared" si="8"/>
        <v/>
      </c>
      <c r="C152" s="17" t="str">
        <f t="shared" si="11"/>
        <v/>
      </c>
      <c r="D152" s="17" t="str">
        <f t="shared" si="9"/>
        <v/>
      </c>
      <c r="E152" s="17" t="str">
        <f t="shared" si="10"/>
        <v/>
      </c>
      <c r="F152" s="18" t="str">
        <f>IF($A152="","",EDATE(data_inicial,Tabela2[[#This Row],[Mês]]))</f>
        <v/>
      </c>
    </row>
    <row r="153" spans="1:6" x14ac:dyDescent="0.3">
      <c r="A153" s="2" t="str">
        <f>IF(ROW(A153)&lt;=periodo+1, ROW(A153)-1, "")</f>
        <v/>
      </c>
      <c r="B153" s="17" t="str">
        <f t="shared" si="8"/>
        <v/>
      </c>
      <c r="C153" s="17" t="str">
        <f t="shared" si="11"/>
        <v/>
      </c>
      <c r="D153" s="17" t="str">
        <f t="shared" si="9"/>
        <v/>
      </c>
      <c r="E153" s="17" t="str">
        <f t="shared" si="10"/>
        <v/>
      </c>
      <c r="F153" s="18" t="str">
        <f>IF($A153="","",EDATE(data_inicial,Tabela2[[#This Row],[Mês]]))</f>
        <v/>
      </c>
    </row>
    <row r="154" spans="1:6" x14ac:dyDescent="0.3">
      <c r="A154" s="2" t="str">
        <f>IF(ROW(A154)&lt;=periodo+1, ROW(A154)-1, "")</f>
        <v/>
      </c>
      <c r="B154" s="17" t="str">
        <f t="shared" si="8"/>
        <v/>
      </c>
      <c r="C154" s="17" t="str">
        <f t="shared" si="11"/>
        <v/>
      </c>
      <c r="D154" s="17" t="str">
        <f t="shared" si="9"/>
        <v/>
      </c>
      <c r="E154" s="17" t="str">
        <f t="shared" si="10"/>
        <v/>
      </c>
      <c r="F154" s="18" t="str">
        <f>IF($A154="","",EDATE(data_inicial,Tabela2[[#This Row],[Mês]]))</f>
        <v/>
      </c>
    </row>
    <row r="155" spans="1:6" x14ac:dyDescent="0.3">
      <c r="A155" s="2" t="str">
        <f>IF(ROW(A155)&lt;=periodo+1, ROW(A155)-1, "")</f>
        <v/>
      </c>
      <c r="B155" s="17" t="str">
        <f t="shared" si="8"/>
        <v/>
      </c>
      <c r="C155" s="17" t="str">
        <f t="shared" si="11"/>
        <v/>
      </c>
      <c r="D155" s="17" t="str">
        <f t="shared" si="9"/>
        <v/>
      </c>
      <c r="E155" s="17" t="str">
        <f t="shared" si="10"/>
        <v/>
      </c>
      <c r="F155" s="18" t="str">
        <f>IF($A155="","",EDATE(data_inicial,Tabela2[[#This Row],[Mês]]))</f>
        <v/>
      </c>
    </row>
    <row r="156" spans="1:6" x14ac:dyDescent="0.3">
      <c r="A156" s="2" t="str">
        <f>IF(ROW(A156)&lt;=periodo+1, ROW(A156)-1, "")</f>
        <v/>
      </c>
      <c r="B156" s="17" t="str">
        <f t="shared" si="8"/>
        <v/>
      </c>
      <c r="C156" s="17" t="str">
        <f t="shared" si="11"/>
        <v/>
      </c>
      <c r="D156" s="17" t="str">
        <f t="shared" si="9"/>
        <v/>
      </c>
      <c r="E156" s="17" t="str">
        <f t="shared" si="10"/>
        <v/>
      </c>
      <c r="F156" s="18" t="str">
        <f>IF($A156="","",EDATE(data_inicial,Tabela2[[#This Row],[Mês]]))</f>
        <v/>
      </c>
    </row>
    <row r="157" spans="1:6" x14ac:dyDescent="0.3">
      <c r="A157" s="2" t="str">
        <f>IF(ROW(A157)&lt;=periodo+1, ROW(A157)-1, "")</f>
        <v/>
      </c>
      <c r="B157" s="17" t="str">
        <f t="shared" si="8"/>
        <v/>
      </c>
      <c r="C157" s="17" t="str">
        <f t="shared" si="11"/>
        <v/>
      </c>
      <c r="D157" s="17" t="str">
        <f t="shared" si="9"/>
        <v/>
      </c>
      <c r="E157" s="17" t="str">
        <f t="shared" si="10"/>
        <v/>
      </c>
      <c r="F157" s="18" t="str">
        <f>IF($A157="","",EDATE(data_inicial,Tabela2[[#This Row],[Mês]]))</f>
        <v/>
      </c>
    </row>
    <row r="158" spans="1:6" x14ac:dyDescent="0.3">
      <c r="A158" s="2" t="str">
        <f>IF(ROW(A158)&lt;=periodo+1, ROW(A158)-1, "")</f>
        <v/>
      </c>
      <c r="B158" s="17" t="str">
        <f t="shared" si="8"/>
        <v/>
      </c>
      <c r="C158" s="17" t="str">
        <f t="shared" si="11"/>
        <v/>
      </c>
      <c r="D158" s="17" t="str">
        <f t="shared" si="9"/>
        <v/>
      </c>
      <c r="E158" s="17" t="str">
        <f t="shared" si="10"/>
        <v/>
      </c>
      <c r="F158" s="18" t="str">
        <f>IF($A158="","",EDATE(data_inicial,Tabela2[[#This Row],[Mês]]))</f>
        <v/>
      </c>
    </row>
    <row r="159" spans="1:6" x14ac:dyDescent="0.3">
      <c r="A159" s="2" t="str">
        <f>IF(ROW(A159)&lt;=periodo+1, ROW(A159)-1, "")</f>
        <v/>
      </c>
      <c r="B159" s="17" t="str">
        <f t="shared" si="8"/>
        <v/>
      </c>
      <c r="C159" s="17" t="str">
        <f t="shared" si="11"/>
        <v/>
      </c>
      <c r="D159" s="17" t="str">
        <f t="shared" si="9"/>
        <v/>
      </c>
      <c r="E159" s="17" t="str">
        <f t="shared" si="10"/>
        <v/>
      </c>
      <c r="F159" s="18" t="str">
        <f>IF($A159="","",EDATE(data_inicial,Tabela2[[#This Row],[Mês]]))</f>
        <v/>
      </c>
    </row>
    <row r="160" spans="1:6" x14ac:dyDescent="0.3">
      <c r="A160" s="2" t="str">
        <f>IF(ROW(A160)&lt;=periodo+1, ROW(A160)-1, "")</f>
        <v/>
      </c>
      <c r="B160" s="17" t="str">
        <f t="shared" si="8"/>
        <v/>
      </c>
      <c r="C160" s="17" t="str">
        <f t="shared" si="11"/>
        <v/>
      </c>
      <c r="D160" s="17" t="str">
        <f t="shared" si="9"/>
        <v/>
      </c>
      <c r="E160" s="17" t="str">
        <f t="shared" si="10"/>
        <v/>
      </c>
      <c r="F160" s="18" t="str">
        <f>IF($A160="","",EDATE(data_inicial,Tabela2[[#This Row],[Mês]]))</f>
        <v/>
      </c>
    </row>
    <row r="161" spans="1:6" x14ac:dyDescent="0.3">
      <c r="A161" s="2" t="str">
        <f>IF(ROW(A161)&lt;=periodo+1, ROW(A161)-1, "")</f>
        <v/>
      </c>
      <c r="B161" s="17" t="str">
        <f t="shared" si="8"/>
        <v/>
      </c>
      <c r="C161" s="17" t="str">
        <f t="shared" si="11"/>
        <v/>
      </c>
      <c r="D161" s="17" t="str">
        <f t="shared" si="9"/>
        <v/>
      </c>
      <c r="E161" s="17" t="str">
        <f t="shared" si="10"/>
        <v/>
      </c>
      <c r="F161" s="18" t="str">
        <f>IF($A161="","",EDATE(data_inicial,Tabela2[[#This Row],[Mês]]))</f>
        <v/>
      </c>
    </row>
    <row r="162" spans="1:6" x14ac:dyDescent="0.3">
      <c r="A162" s="2" t="str">
        <f>IF(ROW(A162)&lt;=periodo+1, ROW(A162)-1, "")</f>
        <v/>
      </c>
      <c r="B162" s="17" t="str">
        <f t="shared" si="8"/>
        <v/>
      </c>
      <c r="C162" s="17" t="str">
        <f t="shared" si="11"/>
        <v/>
      </c>
      <c r="D162" s="17" t="str">
        <f t="shared" si="9"/>
        <v/>
      </c>
      <c r="E162" s="17" t="str">
        <f t="shared" si="10"/>
        <v/>
      </c>
      <c r="F162" s="18" t="str">
        <f>IF($A162="","",EDATE(data_inicial,Tabela2[[#This Row],[Mês]]))</f>
        <v/>
      </c>
    </row>
    <row r="163" spans="1:6" x14ac:dyDescent="0.3">
      <c r="A163" s="2" t="str">
        <f>IF(ROW(A163)&lt;=periodo+1, ROW(A163)-1, "")</f>
        <v/>
      </c>
      <c r="B163" s="17" t="str">
        <f t="shared" si="8"/>
        <v/>
      </c>
      <c r="C163" s="17" t="str">
        <f t="shared" si="11"/>
        <v/>
      </c>
      <c r="D163" s="17" t="str">
        <f t="shared" si="9"/>
        <v/>
      </c>
      <c r="E163" s="17" t="str">
        <f t="shared" si="10"/>
        <v/>
      </c>
      <c r="F163" s="18" t="str">
        <f>IF($A163="","",EDATE(data_inicial,Tabela2[[#This Row],[Mês]]))</f>
        <v/>
      </c>
    </row>
    <row r="164" spans="1:6" x14ac:dyDescent="0.3">
      <c r="A164" s="2" t="str">
        <f>IF(ROW(A164)&lt;=periodo+1, ROW(A164)-1, "")</f>
        <v/>
      </c>
      <c r="B164" s="17" t="str">
        <f t="shared" si="8"/>
        <v/>
      </c>
      <c r="C164" s="17" t="str">
        <f t="shared" si="11"/>
        <v/>
      </c>
      <c r="D164" s="17" t="str">
        <f t="shared" si="9"/>
        <v/>
      </c>
      <c r="E164" s="17" t="str">
        <f t="shared" si="10"/>
        <v/>
      </c>
      <c r="F164" s="18" t="str">
        <f>IF($A164="","",EDATE(data_inicial,Tabela2[[#This Row],[Mês]]))</f>
        <v/>
      </c>
    </row>
    <row r="165" spans="1:6" x14ac:dyDescent="0.3">
      <c r="A165" s="2" t="str">
        <f>IF(ROW(A165)&lt;=periodo+1, ROW(A165)-1, "")</f>
        <v/>
      </c>
      <c r="B165" s="17" t="str">
        <f t="shared" si="8"/>
        <v/>
      </c>
      <c r="C165" s="17" t="str">
        <f t="shared" si="11"/>
        <v/>
      </c>
      <c r="D165" s="17" t="str">
        <f t="shared" si="9"/>
        <v/>
      </c>
      <c r="E165" s="17" t="str">
        <f t="shared" si="10"/>
        <v/>
      </c>
      <c r="F165" s="18" t="str">
        <f>IF($A165="","",EDATE(data_inicial,Tabela2[[#This Row],[Mês]]))</f>
        <v/>
      </c>
    </row>
    <row r="166" spans="1:6" x14ac:dyDescent="0.3">
      <c r="A166" s="2" t="str">
        <f>IF(ROW(A166)&lt;=periodo+1, ROW(A166)-1, "")</f>
        <v/>
      </c>
      <c r="B166" s="17" t="str">
        <f t="shared" si="8"/>
        <v/>
      </c>
      <c r="C166" s="17" t="str">
        <f t="shared" si="11"/>
        <v/>
      </c>
      <c r="D166" s="17" t="str">
        <f t="shared" si="9"/>
        <v/>
      </c>
      <c r="E166" s="17" t="str">
        <f t="shared" si="10"/>
        <v/>
      </c>
      <c r="F166" s="18" t="str">
        <f>IF($A166="","",EDATE(data_inicial,Tabela2[[#This Row],[Mês]]))</f>
        <v/>
      </c>
    </row>
    <row r="167" spans="1:6" x14ac:dyDescent="0.3">
      <c r="A167" s="2" t="str">
        <f>IF(ROW(A167)&lt;=periodo+1, ROW(A167)-1, "")</f>
        <v/>
      </c>
      <c r="B167" s="17" t="str">
        <f t="shared" si="8"/>
        <v/>
      </c>
      <c r="C167" s="17" t="str">
        <f t="shared" si="11"/>
        <v/>
      </c>
      <c r="D167" s="17" t="str">
        <f t="shared" si="9"/>
        <v/>
      </c>
      <c r="E167" s="17" t="str">
        <f t="shared" si="10"/>
        <v/>
      </c>
      <c r="F167" s="18" t="str">
        <f>IF($A167="","",EDATE(data_inicial,Tabela2[[#This Row],[Mês]]))</f>
        <v/>
      </c>
    </row>
    <row r="168" spans="1:6" x14ac:dyDescent="0.3">
      <c r="A168" s="2" t="str">
        <f>IF(ROW(A168)&lt;=periodo+1, ROW(A168)-1, "")</f>
        <v/>
      </c>
      <c r="B168" s="17" t="str">
        <f t="shared" si="8"/>
        <v/>
      </c>
      <c r="C168" s="17" t="str">
        <f t="shared" si="11"/>
        <v/>
      </c>
      <c r="D168" s="17" t="str">
        <f t="shared" si="9"/>
        <v/>
      </c>
      <c r="E168" s="17" t="str">
        <f t="shared" si="10"/>
        <v/>
      </c>
      <c r="F168" s="18" t="str">
        <f>IF($A168="","",EDATE(data_inicial,Tabela2[[#This Row],[Mês]]))</f>
        <v/>
      </c>
    </row>
    <row r="169" spans="1:6" x14ac:dyDescent="0.3">
      <c r="A169" s="2" t="str">
        <f>IF(ROW(A169)&lt;=periodo+1, ROW(A169)-1, "")</f>
        <v/>
      </c>
      <c r="B169" s="17" t="str">
        <f t="shared" si="8"/>
        <v/>
      </c>
      <c r="C169" s="17" t="str">
        <f t="shared" si="11"/>
        <v/>
      </c>
      <c r="D169" s="17" t="str">
        <f t="shared" si="9"/>
        <v/>
      </c>
      <c r="E169" s="17" t="str">
        <f t="shared" si="10"/>
        <v/>
      </c>
      <c r="F169" s="18" t="str">
        <f>IF($A169="","",EDATE(data_inicial,Tabela2[[#This Row],[Mês]]))</f>
        <v/>
      </c>
    </row>
    <row r="170" spans="1:6" x14ac:dyDescent="0.3">
      <c r="A170" s="2" t="str">
        <f>IF(ROW(A170)&lt;=periodo+1, ROW(A170)-1, "")</f>
        <v/>
      </c>
      <c r="B170" s="17" t="str">
        <f t="shared" si="8"/>
        <v/>
      </c>
      <c r="C170" s="17" t="str">
        <f t="shared" si="11"/>
        <v/>
      </c>
      <c r="D170" s="17" t="str">
        <f t="shared" si="9"/>
        <v/>
      </c>
      <c r="E170" s="17" t="str">
        <f t="shared" si="10"/>
        <v/>
      </c>
      <c r="F170" s="18" t="str">
        <f>IF($A170="","",EDATE(data_inicial,Tabela2[[#This Row],[Mês]]))</f>
        <v/>
      </c>
    </row>
    <row r="171" spans="1:6" x14ac:dyDescent="0.3">
      <c r="A171" s="2" t="str">
        <f>IF(ROW(A171)&lt;=periodo+1, ROW(A171)-1, "")</f>
        <v/>
      </c>
      <c r="B171" s="17" t="str">
        <f t="shared" si="8"/>
        <v/>
      </c>
      <c r="C171" s="17" t="str">
        <f t="shared" si="11"/>
        <v/>
      </c>
      <c r="D171" s="17" t="str">
        <f t="shared" si="9"/>
        <v/>
      </c>
      <c r="E171" s="17" t="str">
        <f t="shared" si="10"/>
        <v/>
      </c>
      <c r="F171" s="18" t="str">
        <f>IF($A171="","",EDATE(data_inicial,Tabela2[[#This Row],[Mês]]))</f>
        <v/>
      </c>
    </row>
    <row r="172" spans="1:6" x14ac:dyDescent="0.3">
      <c r="A172" s="2" t="str">
        <f>IF(ROW(A172)&lt;=periodo+1, ROW(A172)-1, "")</f>
        <v/>
      </c>
      <c r="B172" s="17" t="str">
        <f t="shared" si="8"/>
        <v/>
      </c>
      <c r="C172" s="17" t="str">
        <f t="shared" si="11"/>
        <v/>
      </c>
      <c r="D172" s="17" t="str">
        <f t="shared" si="9"/>
        <v/>
      </c>
      <c r="E172" s="17" t="str">
        <f t="shared" si="10"/>
        <v/>
      </c>
      <c r="F172" s="18" t="str">
        <f>IF($A172="","",EDATE(data_inicial,Tabela2[[#This Row],[Mês]]))</f>
        <v/>
      </c>
    </row>
    <row r="173" spans="1:6" x14ac:dyDescent="0.3">
      <c r="A173" s="2" t="str">
        <f>IF(ROW(A173)&lt;=periodo+1, ROW(A173)-1, "")</f>
        <v/>
      </c>
      <c r="B173" s="17" t="str">
        <f t="shared" si="8"/>
        <v/>
      </c>
      <c r="C173" s="17" t="str">
        <f t="shared" si="11"/>
        <v/>
      </c>
      <c r="D173" s="17" t="str">
        <f t="shared" si="9"/>
        <v/>
      </c>
      <c r="E173" s="17" t="str">
        <f t="shared" si="10"/>
        <v/>
      </c>
      <c r="F173" s="18" t="str">
        <f>IF($A173="","",EDATE(data_inicial,Tabela2[[#This Row],[Mês]]))</f>
        <v/>
      </c>
    </row>
    <row r="174" spans="1:6" x14ac:dyDescent="0.3">
      <c r="A174" s="2" t="str">
        <f>IF(ROW(A174)&lt;=periodo+1, ROW(A174)-1, "")</f>
        <v/>
      </c>
      <c r="B174" s="17" t="str">
        <f t="shared" si="8"/>
        <v/>
      </c>
      <c r="C174" s="17" t="str">
        <f t="shared" si="11"/>
        <v/>
      </c>
      <c r="D174" s="17" t="str">
        <f t="shared" si="9"/>
        <v/>
      </c>
      <c r="E174" s="17" t="str">
        <f t="shared" si="10"/>
        <v/>
      </c>
      <c r="F174" s="18" t="str">
        <f>IF($A174="","",EDATE(data_inicial,Tabela2[[#This Row],[Mês]]))</f>
        <v/>
      </c>
    </row>
    <row r="175" spans="1:6" x14ac:dyDescent="0.3">
      <c r="A175" s="2" t="str">
        <f>IF(ROW(A175)&lt;=periodo+1, ROW(A175)-1, "")</f>
        <v/>
      </c>
      <c r="B175" s="17" t="str">
        <f t="shared" si="8"/>
        <v/>
      </c>
      <c r="C175" s="17" t="str">
        <f t="shared" si="11"/>
        <v/>
      </c>
      <c r="D175" s="17" t="str">
        <f t="shared" si="9"/>
        <v/>
      </c>
      <c r="E175" s="17" t="str">
        <f t="shared" si="10"/>
        <v/>
      </c>
      <c r="F175" s="18" t="str">
        <f>IF($A175="","",EDATE(data_inicial,Tabela2[[#This Row],[Mês]]))</f>
        <v/>
      </c>
    </row>
    <row r="176" spans="1:6" x14ac:dyDescent="0.3">
      <c r="A176" s="2" t="str">
        <f>IF(ROW(A176)&lt;=periodo+1, ROW(A176)-1, "")</f>
        <v/>
      </c>
      <c r="B176" s="17" t="str">
        <f t="shared" si="8"/>
        <v/>
      </c>
      <c r="C176" s="17" t="str">
        <f t="shared" si="11"/>
        <v/>
      </c>
      <c r="D176" s="17" t="str">
        <f t="shared" si="9"/>
        <v/>
      </c>
      <c r="E176" s="17" t="str">
        <f t="shared" si="10"/>
        <v/>
      </c>
      <c r="F176" s="18" t="str">
        <f>IF($A176="","",EDATE(data_inicial,Tabela2[[#This Row],[Mês]]))</f>
        <v/>
      </c>
    </row>
    <row r="177" spans="1:6" x14ac:dyDescent="0.3">
      <c r="A177" s="2" t="str">
        <f>IF(ROW(A177)&lt;=periodo+1, ROW(A177)-1, "")</f>
        <v/>
      </c>
      <c r="B177" s="17" t="str">
        <f t="shared" si="8"/>
        <v/>
      </c>
      <c r="C177" s="17" t="str">
        <f t="shared" si="11"/>
        <v/>
      </c>
      <c r="D177" s="17" t="str">
        <f t="shared" si="9"/>
        <v/>
      </c>
      <c r="E177" s="17" t="str">
        <f t="shared" si="10"/>
        <v/>
      </c>
      <c r="F177" s="18" t="str">
        <f>IF($A177="","",EDATE(data_inicial,Tabela2[[#This Row],[Mês]]))</f>
        <v/>
      </c>
    </row>
    <row r="178" spans="1:6" x14ac:dyDescent="0.3">
      <c r="A178" s="2" t="str">
        <f>IF(ROW(A178)&lt;=periodo+1, ROW(A178)-1, "")</f>
        <v/>
      </c>
      <c r="B178" s="17" t="str">
        <f t="shared" si="8"/>
        <v/>
      </c>
      <c r="C178" s="17" t="str">
        <f t="shared" si="11"/>
        <v/>
      </c>
      <c r="D178" s="17" t="str">
        <f t="shared" si="9"/>
        <v/>
      </c>
      <c r="E178" s="17" t="str">
        <f t="shared" si="10"/>
        <v/>
      </c>
      <c r="F178" s="18" t="str">
        <f>IF($A178="","",EDATE(data_inicial,Tabela2[[#This Row],[Mês]]))</f>
        <v/>
      </c>
    </row>
    <row r="179" spans="1:6" x14ac:dyDescent="0.3">
      <c r="A179" s="2" t="str">
        <f>IF(ROW(A179)&lt;=periodo+1, ROW(A179)-1, "")</f>
        <v/>
      </c>
      <c r="B179" s="17" t="str">
        <f t="shared" si="8"/>
        <v/>
      </c>
      <c r="C179" s="17" t="str">
        <f t="shared" si="11"/>
        <v/>
      </c>
      <c r="D179" s="17" t="str">
        <f t="shared" si="9"/>
        <v/>
      </c>
      <c r="E179" s="17" t="str">
        <f t="shared" si="10"/>
        <v/>
      </c>
      <c r="F179" s="18" t="str">
        <f>IF($A179="","",EDATE(data_inicial,Tabela2[[#This Row],[Mês]]))</f>
        <v/>
      </c>
    </row>
    <row r="180" spans="1:6" x14ac:dyDescent="0.3">
      <c r="A180" s="2" t="str">
        <f>IF(ROW(A180)&lt;=periodo+1, ROW(A180)-1, "")</f>
        <v/>
      </c>
      <c r="B180" s="17" t="str">
        <f t="shared" si="8"/>
        <v/>
      </c>
      <c r="C180" s="17" t="str">
        <f t="shared" si="11"/>
        <v/>
      </c>
      <c r="D180" s="17" t="str">
        <f t="shared" si="9"/>
        <v/>
      </c>
      <c r="E180" s="17" t="str">
        <f t="shared" si="10"/>
        <v/>
      </c>
      <c r="F180" s="18" t="str">
        <f>IF($A180="","",EDATE(data_inicial,Tabela2[[#This Row],[Mês]]))</f>
        <v/>
      </c>
    </row>
    <row r="181" spans="1:6" x14ac:dyDescent="0.3">
      <c r="A181" s="2" t="str">
        <f>IF(ROW(A181)&lt;=periodo+1, ROW(A181)-1, "")</f>
        <v/>
      </c>
      <c r="B181" s="17" t="str">
        <f t="shared" si="8"/>
        <v/>
      </c>
      <c r="C181" s="17" t="str">
        <f t="shared" si="11"/>
        <v/>
      </c>
      <c r="D181" s="17" t="str">
        <f t="shared" si="9"/>
        <v/>
      </c>
      <c r="E181" s="17" t="str">
        <f t="shared" si="10"/>
        <v/>
      </c>
      <c r="F181" s="18" t="str">
        <f>IF($A181="","",EDATE(data_inicial,Tabela2[[#This Row],[Mês]]))</f>
        <v/>
      </c>
    </row>
    <row r="182" spans="1:6" x14ac:dyDescent="0.3">
      <c r="A182" s="2" t="str">
        <f>IF(ROW(A182)&lt;=periodo+1, ROW(A182)-1, "")</f>
        <v/>
      </c>
      <c r="B182" s="17" t="str">
        <f t="shared" si="8"/>
        <v/>
      </c>
      <c r="C182" s="17" t="str">
        <f t="shared" si="11"/>
        <v/>
      </c>
      <c r="D182" s="17" t="str">
        <f t="shared" si="9"/>
        <v/>
      </c>
      <c r="E182" s="17" t="str">
        <f t="shared" si="10"/>
        <v/>
      </c>
      <c r="F182" s="18" t="str">
        <f>IF($A182="","",EDATE(data_inicial,Tabela2[[#This Row],[Mês]]))</f>
        <v/>
      </c>
    </row>
    <row r="183" spans="1:6" x14ac:dyDescent="0.3">
      <c r="A183" s="2" t="str">
        <f>IF(ROW(A183)&lt;=periodo+1, ROW(A183)-1, "")</f>
        <v/>
      </c>
      <c r="B183" s="17" t="str">
        <f t="shared" si="8"/>
        <v/>
      </c>
      <c r="C183" s="17" t="str">
        <f t="shared" si="11"/>
        <v/>
      </c>
      <c r="D183" s="17" t="str">
        <f t="shared" si="9"/>
        <v/>
      </c>
      <c r="E183" s="17" t="str">
        <f t="shared" si="10"/>
        <v/>
      </c>
      <c r="F183" s="18" t="str">
        <f>IF($A183="","",EDATE(data_inicial,Tabela2[[#This Row],[Mês]]))</f>
        <v/>
      </c>
    </row>
    <row r="184" spans="1:6" x14ac:dyDescent="0.3">
      <c r="A184" s="2" t="str">
        <f>IF(ROW(A184)&lt;=periodo+1, ROW(A184)-1, "")</f>
        <v/>
      </c>
      <c r="B184" s="17" t="str">
        <f t="shared" si="8"/>
        <v/>
      </c>
      <c r="C184" s="17" t="str">
        <f t="shared" si="11"/>
        <v/>
      </c>
      <c r="D184" s="17" t="str">
        <f t="shared" si="9"/>
        <v/>
      </c>
      <c r="E184" s="17" t="str">
        <f t="shared" si="10"/>
        <v/>
      </c>
      <c r="F184" s="18" t="str">
        <f>IF($A184="","",EDATE(data_inicial,Tabela2[[#This Row],[Mês]]))</f>
        <v/>
      </c>
    </row>
    <row r="185" spans="1:6" x14ac:dyDescent="0.3">
      <c r="A185" s="2" t="str">
        <f>IF(ROW(A185)&lt;=periodo+1, ROW(A185)-1, "")</f>
        <v/>
      </c>
      <c r="B185" s="17" t="str">
        <f t="shared" si="8"/>
        <v/>
      </c>
      <c r="C185" s="17" t="str">
        <f t="shared" si="11"/>
        <v/>
      </c>
      <c r="D185" s="17" t="str">
        <f t="shared" si="9"/>
        <v/>
      </c>
      <c r="E185" s="17" t="str">
        <f t="shared" si="10"/>
        <v/>
      </c>
      <c r="F185" s="18" t="str">
        <f>IF($A185="","",EDATE(data_inicial,Tabela2[[#This Row],[Mês]]))</f>
        <v/>
      </c>
    </row>
    <row r="186" spans="1:6" x14ac:dyDescent="0.3">
      <c r="A186" s="2" t="str">
        <f>IF(ROW(A186)&lt;=periodo+1, ROW(A186)-1, "")</f>
        <v/>
      </c>
      <c r="B186" s="17" t="str">
        <f t="shared" si="8"/>
        <v/>
      </c>
      <c r="C186" s="17" t="str">
        <f t="shared" si="11"/>
        <v/>
      </c>
      <c r="D186" s="17" t="str">
        <f t="shared" si="9"/>
        <v/>
      </c>
      <c r="E186" s="17" t="str">
        <f t="shared" si="10"/>
        <v/>
      </c>
      <c r="F186" s="18" t="str">
        <f>IF($A186="","",EDATE(data_inicial,Tabela2[[#This Row],[Mês]]))</f>
        <v/>
      </c>
    </row>
    <row r="187" spans="1:6" x14ac:dyDescent="0.3">
      <c r="A187" s="2" t="str">
        <f>IF(ROW(A187)&lt;=periodo+1, ROW(A187)-1, "")</f>
        <v/>
      </c>
      <c r="B187" s="17" t="str">
        <f t="shared" si="8"/>
        <v/>
      </c>
      <c r="C187" s="17" t="str">
        <f t="shared" si="11"/>
        <v/>
      </c>
      <c r="D187" s="17" t="str">
        <f t="shared" si="9"/>
        <v/>
      </c>
      <c r="E187" s="17" t="str">
        <f t="shared" si="10"/>
        <v/>
      </c>
      <c r="F187" s="18" t="str">
        <f>IF($A187="","",EDATE(data_inicial,Tabela2[[#This Row],[Mês]]))</f>
        <v/>
      </c>
    </row>
    <row r="188" spans="1:6" x14ac:dyDescent="0.3">
      <c r="A188" s="2" t="str">
        <f>IF(ROW(A188)&lt;=periodo+1, ROW(A188)-1, "")</f>
        <v/>
      </c>
      <c r="B188" s="17" t="str">
        <f t="shared" si="8"/>
        <v/>
      </c>
      <c r="C188" s="17" t="str">
        <f t="shared" si="11"/>
        <v/>
      </c>
      <c r="D188" s="17" t="str">
        <f t="shared" si="9"/>
        <v/>
      </c>
      <c r="E188" s="17" t="str">
        <f t="shared" si="10"/>
        <v/>
      </c>
      <c r="F188" s="18" t="str">
        <f>IF($A188="","",EDATE(data_inicial,Tabela2[[#This Row],[Mês]]))</f>
        <v/>
      </c>
    </row>
    <row r="189" spans="1:6" x14ac:dyDescent="0.3">
      <c r="A189" s="2" t="str">
        <f>IF(ROW(A189)&lt;=periodo+1, ROW(A189)-1, "")</f>
        <v/>
      </c>
      <c r="B189" s="17" t="str">
        <f t="shared" si="8"/>
        <v/>
      </c>
      <c r="C189" s="17" t="str">
        <f t="shared" si="11"/>
        <v/>
      </c>
      <c r="D189" s="17" t="str">
        <f t="shared" si="9"/>
        <v/>
      </c>
      <c r="E189" s="17" t="str">
        <f t="shared" si="10"/>
        <v/>
      </c>
      <c r="F189" s="18" t="str">
        <f>IF($A189="","",EDATE(data_inicial,Tabela2[[#This Row],[Mês]]))</f>
        <v/>
      </c>
    </row>
    <row r="190" spans="1:6" x14ac:dyDescent="0.3">
      <c r="A190" s="2" t="str">
        <f>IF(ROW(A190)&lt;=periodo+1, ROW(A190)-1, "")</f>
        <v/>
      </c>
      <c r="B190" s="17" t="str">
        <f t="shared" si="8"/>
        <v/>
      </c>
      <c r="C190" s="17" t="str">
        <f t="shared" si="11"/>
        <v/>
      </c>
      <c r="D190" s="17" t="str">
        <f t="shared" si="9"/>
        <v/>
      </c>
      <c r="E190" s="17" t="str">
        <f t="shared" si="10"/>
        <v/>
      </c>
      <c r="F190" s="18" t="str">
        <f>IF($A190="","",EDATE(data_inicial,Tabela2[[#This Row],[Mês]]))</f>
        <v/>
      </c>
    </row>
    <row r="191" spans="1:6" x14ac:dyDescent="0.3">
      <c r="A191" s="2" t="str">
        <f>IF(ROW(A191)&lt;=periodo+1, ROW(A191)-1, "")</f>
        <v/>
      </c>
      <c r="B191" s="17" t="str">
        <f t="shared" si="8"/>
        <v/>
      </c>
      <c r="C191" s="17" t="str">
        <f t="shared" si="11"/>
        <v/>
      </c>
      <c r="D191" s="17" t="str">
        <f t="shared" si="9"/>
        <v/>
      </c>
      <c r="E191" s="17" t="str">
        <f t="shared" si="10"/>
        <v/>
      </c>
      <c r="F191" s="18" t="str">
        <f>IF($A191="","",EDATE(data_inicial,Tabela2[[#This Row],[Mês]]))</f>
        <v/>
      </c>
    </row>
    <row r="192" spans="1:6" x14ac:dyDescent="0.3">
      <c r="A192" s="2" t="str">
        <f>IF(ROW(A192)&lt;=periodo+1, ROW(A192)-1, "")</f>
        <v/>
      </c>
      <c r="B192" s="17" t="str">
        <f t="shared" si="8"/>
        <v/>
      </c>
      <c r="C192" s="17" t="str">
        <f t="shared" si="11"/>
        <v/>
      </c>
      <c r="D192" s="17" t="str">
        <f t="shared" si="9"/>
        <v/>
      </c>
      <c r="E192" s="17" t="str">
        <f t="shared" si="10"/>
        <v/>
      </c>
      <c r="F192" s="18" t="str">
        <f>IF($A192="","",EDATE(data_inicial,Tabela2[[#This Row],[Mês]]))</f>
        <v/>
      </c>
    </row>
    <row r="193" spans="1:6" x14ac:dyDescent="0.3">
      <c r="A193" s="2" t="str">
        <f>IF(ROW(A193)&lt;=periodo+1, ROW(A193)-1, "")</f>
        <v/>
      </c>
      <c r="B193" s="17" t="str">
        <f t="shared" si="8"/>
        <v/>
      </c>
      <c r="C193" s="17" t="str">
        <f t="shared" si="11"/>
        <v/>
      </c>
      <c r="D193" s="17" t="str">
        <f t="shared" si="9"/>
        <v/>
      </c>
      <c r="E193" s="17" t="str">
        <f t="shared" si="10"/>
        <v/>
      </c>
      <c r="F193" s="18" t="str">
        <f>IF($A193="","",EDATE(data_inicial,Tabela2[[#This Row],[Mês]]))</f>
        <v/>
      </c>
    </row>
    <row r="194" spans="1:6" x14ac:dyDescent="0.3">
      <c r="A194" s="2" t="str">
        <f>IF(ROW(A194)&lt;=periodo+1, ROW(A194)-1, "")</f>
        <v/>
      </c>
      <c r="B194" s="17" t="str">
        <f t="shared" ref="B194:B239" si="12">IF($A194="","",aporte)</f>
        <v/>
      </c>
      <c r="C194" s="17" t="str">
        <f t="shared" si="11"/>
        <v/>
      </c>
      <c r="D194" s="17" t="str">
        <f t="shared" ref="D194:D239" si="13">IF($A194="","",C194*taxa)</f>
        <v/>
      </c>
      <c r="E194" s="17" t="str">
        <f t="shared" ref="E194:E239" si="14">IF($A194="","",(C194+B194)+D194)</f>
        <v/>
      </c>
      <c r="F194" s="18" t="str">
        <f>IF($A194="","",EDATE(data_inicial,Tabela2[[#This Row],[Mês]]))</f>
        <v/>
      </c>
    </row>
    <row r="195" spans="1:6" x14ac:dyDescent="0.3">
      <c r="A195" s="2" t="str">
        <f>IF(ROW(A195)&lt;=periodo+1, ROW(A195)-1, "")</f>
        <v/>
      </c>
      <c r="B195" s="17" t="str">
        <f t="shared" si="12"/>
        <v/>
      </c>
      <c r="C195" s="17" t="str">
        <f t="shared" ref="C195:C239" si="15">IF($A195="","",IF($A195=1,0,E194))</f>
        <v/>
      </c>
      <c r="D195" s="17" t="str">
        <f t="shared" si="13"/>
        <v/>
      </c>
      <c r="E195" s="17" t="str">
        <f t="shared" si="14"/>
        <v/>
      </c>
      <c r="F195" s="18" t="str">
        <f>IF($A195="","",EDATE(data_inicial,Tabela2[[#This Row],[Mês]]))</f>
        <v/>
      </c>
    </row>
    <row r="196" spans="1:6" x14ac:dyDescent="0.3">
      <c r="A196" s="2" t="str">
        <f>IF(ROW(A196)&lt;=periodo+1, ROW(A196)-1, "")</f>
        <v/>
      </c>
      <c r="B196" s="17" t="str">
        <f t="shared" si="12"/>
        <v/>
      </c>
      <c r="C196" s="17" t="str">
        <f t="shared" si="15"/>
        <v/>
      </c>
      <c r="D196" s="17" t="str">
        <f t="shared" si="13"/>
        <v/>
      </c>
      <c r="E196" s="17" t="str">
        <f t="shared" si="14"/>
        <v/>
      </c>
      <c r="F196" s="18" t="str">
        <f>IF($A196="","",EDATE(data_inicial,Tabela2[[#This Row],[Mês]]))</f>
        <v/>
      </c>
    </row>
    <row r="197" spans="1:6" x14ac:dyDescent="0.3">
      <c r="A197" s="2" t="str">
        <f>IF(ROW(A197)&lt;=periodo+1, ROW(A197)-1, "")</f>
        <v/>
      </c>
      <c r="B197" s="17" t="str">
        <f t="shared" si="12"/>
        <v/>
      </c>
      <c r="C197" s="17" t="str">
        <f t="shared" si="15"/>
        <v/>
      </c>
      <c r="D197" s="17" t="str">
        <f t="shared" si="13"/>
        <v/>
      </c>
      <c r="E197" s="17" t="str">
        <f t="shared" si="14"/>
        <v/>
      </c>
      <c r="F197" s="18" t="str">
        <f>IF($A197="","",EDATE(data_inicial,Tabela2[[#This Row],[Mês]]))</f>
        <v/>
      </c>
    </row>
    <row r="198" spans="1:6" x14ac:dyDescent="0.3">
      <c r="A198" s="2" t="str">
        <f>IF(ROW(A198)&lt;=periodo+1, ROW(A198)-1, "")</f>
        <v/>
      </c>
      <c r="B198" s="17" t="str">
        <f t="shared" si="12"/>
        <v/>
      </c>
      <c r="C198" s="17" t="str">
        <f t="shared" si="15"/>
        <v/>
      </c>
      <c r="D198" s="17" t="str">
        <f t="shared" si="13"/>
        <v/>
      </c>
      <c r="E198" s="17" t="str">
        <f t="shared" si="14"/>
        <v/>
      </c>
      <c r="F198" s="18" t="str">
        <f>IF($A198="","",EDATE(data_inicial,Tabela2[[#This Row],[Mês]]))</f>
        <v/>
      </c>
    </row>
    <row r="199" spans="1:6" x14ac:dyDescent="0.3">
      <c r="A199" s="2" t="str">
        <f>IF(ROW(A199)&lt;=periodo+1, ROW(A199)-1, "")</f>
        <v/>
      </c>
      <c r="B199" s="17" t="str">
        <f t="shared" si="12"/>
        <v/>
      </c>
      <c r="C199" s="17" t="str">
        <f t="shared" si="15"/>
        <v/>
      </c>
      <c r="D199" s="17" t="str">
        <f t="shared" si="13"/>
        <v/>
      </c>
      <c r="E199" s="17" t="str">
        <f t="shared" si="14"/>
        <v/>
      </c>
      <c r="F199" s="18" t="str">
        <f>IF($A199="","",EDATE(data_inicial,Tabela2[[#This Row],[Mês]]))</f>
        <v/>
      </c>
    </row>
    <row r="200" spans="1:6" x14ac:dyDescent="0.3">
      <c r="A200" s="2" t="str">
        <f>IF(ROW(A200)&lt;=periodo+1, ROW(A200)-1, "")</f>
        <v/>
      </c>
      <c r="B200" s="17" t="str">
        <f t="shared" si="12"/>
        <v/>
      </c>
      <c r="C200" s="17" t="str">
        <f t="shared" si="15"/>
        <v/>
      </c>
      <c r="D200" s="17" t="str">
        <f t="shared" si="13"/>
        <v/>
      </c>
      <c r="E200" s="17" t="str">
        <f t="shared" si="14"/>
        <v/>
      </c>
      <c r="F200" s="18" t="str">
        <f>IF($A200="","",EDATE(data_inicial,Tabela2[[#This Row],[Mês]]))</f>
        <v/>
      </c>
    </row>
    <row r="201" spans="1:6" x14ac:dyDescent="0.3">
      <c r="A201" s="2" t="str">
        <f>IF(ROW(A201)&lt;=periodo+1, ROW(A201)-1, "")</f>
        <v/>
      </c>
      <c r="B201" s="17" t="str">
        <f t="shared" si="12"/>
        <v/>
      </c>
      <c r="C201" s="17" t="str">
        <f t="shared" si="15"/>
        <v/>
      </c>
      <c r="D201" s="17" t="str">
        <f t="shared" si="13"/>
        <v/>
      </c>
      <c r="E201" s="17" t="str">
        <f t="shared" si="14"/>
        <v/>
      </c>
      <c r="F201" s="18" t="str">
        <f>IF($A201="","",EDATE(data_inicial,Tabela2[[#This Row],[Mês]]))</f>
        <v/>
      </c>
    </row>
    <row r="202" spans="1:6" x14ac:dyDescent="0.3">
      <c r="A202" s="2" t="str">
        <f>IF(ROW(A202)&lt;=periodo+1, ROW(A202)-1, "")</f>
        <v/>
      </c>
      <c r="B202" s="17" t="str">
        <f t="shared" si="12"/>
        <v/>
      </c>
      <c r="C202" s="17" t="str">
        <f t="shared" si="15"/>
        <v/>
      </c>
      <c r="D202" s="17" t="str">
        <f t="shared" si="13"/>
        <v/>
      </c>
      <c r="E202" s="17" t="str">
        <f t="shared" si="14"/>
        <v/>
      </c>
      <c r="F202" s="18" t="str">
        <f>IF($A202="","",EDATE(data_inicial,Tabela2[[#This Row],[Mês]]))</f>
        <v/>
      </c>
    </row>
    <row r="203" spans="1:6" x14ac:dyDescent="0.3">
      <c r="A203" s="2" t="str">
        <f>IF(ROW(A203)&lt;=periodo+1, ROW(A203)-1, "")</f>
        <v/>
      </c>
      <c r="B203" s="17" t="str">
        <f t="shared" si="12"/>
        <v/>
      </c>
      <c r="C203" s="17" t="str">
        <f t="shared" si="15"/>
        <v/>
      </c>
      <c r="D203" s="17" t="str">
        <f t="shared" si="13"/>
        <v/>
      </c>
      <c r="E203" s="17" t="str">
        <f t="shared" si="14"/>
        <v/>
      </c>
      <c r="F203" s="18" t="str">
        <f>IF($A203="","",EDATE(data_inicial,Tabela2[[#This Row],[Mês]]))</f>
        <v/>
      </c>
    </row>
    <row r="204" spans="1:6" x14ac:dyDescent="0.3">
      <c r="A204" s="2" t="str">
        <f>IF(ROW(A204)&lt;=periodo+1, ROW(A204)-1, "")</f>
        <v/>
      </c>
      <c r="B204" s="17" t="str">
        <f t="shared" si="12"/>
        <v/>
      </c>
      <c r="C204" s="17" t="str">
        <f t="shared" si="15"/>
        <v/>
      </c>
      <c r="D204" s="17" t="str">
        <f t="shared" si="13"/>
        <v/>
      </c>
      <c r="E204" s="17" t="str">
        <f t="shared" si="14"/>
        <v/>
      </c>
      <c r="F204" s="18" t="str">
        <f>IF($A204="","",EDATE(data_inicial,Tabela2[[#This Row],[Mês]]))</f>
        <v/>
      </c>
    </row>
    <row r="205" spans="1:6" x14ac:dyDescent="0.3">
      <c r="A205" s="2" t="str">
        <f>IF(ROW(A205)&lt;=periodo+1, ROW(A205)-1, "")</f>
        <v/>
      </c>
      <c r="B205" s="17" t="str">
        <f t="shared" si="12"/>
        <v/>
      </c>
      <c r="C205" s="17" t="str">
        <f t="shared" si="15"/>
        <v/>
      </c>
      <c r="D205" s="17" t="str">
        <f t="shared" si="13"/>
        <v/>
      </c>
      <c r="E205" s="17" t="str">
        <f t="shared" si="14"/>
        <v/>
      </c>
      <c r="F205" s="18" t="str">
        <f>IF($A205="","",EDATE(data_inicial,Tabela2[[#This Row],[Mês]]))</f>
        <v/>
      </c>
    </row>
    <row r="206" spans="1:6" x14ac:dyDescent="0.3">
      <c r="A206" s="2" t="str">
        <f>IF(ROW(A206)&lt;=periodo+1, ROW(A206)-1, "")</f>
        <v/>
      </c>
      <c r="B206" s="17" t="str">
        <f t="shared" si="12"/>
        <v/>
      </c>
      <c r="C206" s="17" t="str">
        <f t="shared" si="15"/>
        <v/>
      </c>
      <c r="D206" s="17" t="str">
        <f t="shared" si="13"/>
        <v/>
      </c>
      <c r="E206" s="17" t="str">
        <f t="shared" si="14"/>
        <v/>
      </c>
      <c r="F206" s="18" t="str">
        <f>IF($A206="","",EDATE(data_inicial,Tabela2[[#This Row],[Mês]]))</f>
        <v/>
      </c>
    </row>
    <row r="207" spans="1:6" x14ac:dyDescent="0.3">
      <c r="A207" s="2" t="str">
        <f>IF(ROW(A207)&lt;=periodo+1, ROW(A207)-1, "")</f>
        <v/>
      </c>
      <c r="B207" s="17" t="str">
        <f t="shared" si="12"/>
        <v/>
      </c>
      <c r="C207" s="17" t="str">
        <f t="shared" si="15"/>
        <v/>
      </c>
      <c r="D207" s="17" t="str">
        <f t="shared" si="13"/>
        <v/>
      </c>
      <c r="E207" s="17" t="str">
        <f t="shared" si="14"/>
        <v/>
      </c>
      <c r="F207" s="18" t="str">
        <f>IF($A207="","",EDATE(data_inicial,Tabela2[[#This Row],[Mês]]))</f>
        <v/>
      </c>
    </row>
    <row r="208" spans="1:6" x14ac:dyDescent="0.3">
      <c r="A208" s="2" t="str">
        <f>IF(ROW(A208)&lt;=periodo+1, ROW(A208)-1, "")</f>
        <v/>
      </c>
      <c r="B208" s="17" t="str">
        <f t="shared" si="12"/>
        <v/>
      </c>
      <c r="C208" s="17" t="str">
        <f t="shared" si="15"/>
        <v/>
      </c>
      <c r="D208" s="17" t="str">
        <f t="shared" si="13"/>
        <v/>
      </c>
      <c r="E208" s="17" t="str">
        <f t="shared" si="14"/>
        <v/>
      </c>
      <c r="F208" s="18" t="str">
        <f>IF($A208="","",EDATE(data_inicial,Tabela2[[#This Row],[Mês]]))</f>
        <v/>
      </c>
    </row>
    <row r="209" spans="1:6" x14ac:dyDescent="0.3">
      <c r="A209" s="2" t="str">
        <f>IF(ROW(A209)&lt;=periodo+1, ROW(A209)-1, "")</f>
        <v/>
      </c>
      <c r="B209" s="17" t="str">
        <f t="shared" si="12"/>
        <v/>
      </c>
      <c r="C209" s="17" t="str">
        <f t="shared" si="15"/>
        <v/>
      </c>
      <c r="D209" s="17" t="str">
        <f t="shared" si="13"/>
        <v/>
      </c>
      <c r="E209" s="17" t="str">
        <f t="shared" si="14"/>
        <v/>
      </c>
      <c r="F209" s="18" t="str">
        <f>IF($A209="","",EDATE(data_inicial,Tabela2[[#This Row],[Mês]]))</f>
        <v/>
      </c>
    </row>
    <row r="210" spans="1:6" x14ac:dyDescent="0.3">
      <c r="A210" s="2" t="str">
        <f>IF(ROW(A210)&lt;=periodo+1, ROW(A210)-1, "")</f>
        <v/>
      </c>
      <c r="B210" s="17" t="str">
        <f t="shared" si="12"/>
        <v/>
      </c>
      <c r="C210" s="17" t="str">
        <f t="shared" si="15"/>
        <v/>
      </c>
      <c r="D210" s="17" t="str">
        <f t="shared" si="13"/>
        <v/>
      </c>
      <c r="E210" s="17" t="str">
        <f t="shared" si="14"/>
        <v/>
      </c>
      <c r="F210" s="18" t="str">
        <f>IF($A210="","",EDATE(data_inicial,Tabela2[[#This Row],[Mês]]))</f>
        <v/>
      </c>
    </row>
    <row r="211" spans="1:6" x14ac:dyDescent="0.3">
      <c r="A211" s="2" t="str">
        <f>IF(ROW(A211)&lt;=periodo+1, ROW(A211)-1, "")</f>
        <v/>
      </c>
      <c r="B211" s="17" t="str">
        <f t="shared" si="12"/>
        <v/>
      </c>
      <c r="C211" s="17" t="str">
        <f t="shared" si="15"/>
        <v/>
      </c>
      <c r="D211" s="17" t="str">
        <f t="shared" si="13"/>
        <v/>
      </c>
      <c r="E211" s="17" t="str">
        <f t="shared" si="14"/>
        <v/>
      </c>
      <c r="F211" s="18" t="str">
        <f>IF($A211="","",EDATE(data_inicial,Tabela2[[#This Row],[Mês]]))</f>
        <v/>
      </c>
    </row>
    <row r="212" spans="1:6" x14ac:dyDescent="0.3">
      <c r="A212" s="2" t="str">
        <f>IF(ROW(A212)&lt;=periodo+1, ROW(A212)-1, "")</f>
        <v/>
      </c>
      <c r="B212" s="17" t="str">
        <f t="shared" si="12"/>
        <v/>
      </c>
      <c r="C212" s="17" t="str">
        <f t="shared" si="15"/>
        <v/>
      </c>
      <c r="D212" s="17" t="str">
        <f t="shared" si="13"/>
        <v/>
      </c>
      <c r="E212" s="17" t="str">
        <f t="shared" si="14"/>
        <v/>
      </c>
      <c r="F212" s="18" t="str">
        <f>IF($A212="","",EDATE(data_inicial,Tabela2[[#This Row],[Mês]]))</f>
        <v/>
      </c>
    </row>
    <row r="213" spans="1:6" x14ac:dyDescent="0.3">
      <c r="A213" s="2" t="str">
        <f>IF(ROW(A213)&lt;=periodo+1, ROW(A213)-1, "")</f>
        <v/>
      </c>
      <c r="B213" s="17" t="str">
        <f t="shared" si="12"/>
        <v/>
      </c>
      <c r="C213" s="17" t="str">
        <f t="shared" si="15"/>
        <v/>
      </c>
      <c r="D213" s="17" t="str">
        <f t="shared" si="13"/>
        <v/>
      </c>
      <c r="E213" s="17" t="str">
        <f t="shared" si="14"/>
        <v/>
      </c>
      <c r="F213" s="18" t="str">
        <f>IF($A213="","",EDATE(data_inicial,Tabela2[[#This Row],[Mês]]))</f>
        <v/>
      </c>
    </row>
    <row r="214" spans="1:6" x14ac:dyDescent="0.3">
      <c r="A214" s="2" t="str">
        <f>IF(ROW(A214)&lt;=periodo+1, ROW(A214)-1, "")</f>
        <v/>
      </c>
      <c r="B214" s="17" t="str">
        <f t="shared" si="12"/>
        <v/>
      </c>
      <c r="C214" s="17" t="str">
        <f t="shared" si="15"/>
        <v/>
      </c>
      <c r="D214" s="17" t="str">
        <f t="shared" si="13"/>
        <v/>
      </c>
      <c r="E214" s="17" t="str">
        <f t="shared" si="14"/>
        <v/>
      </c>
      <c r="F214" s="18" t="str">
        <f>IF($A214="","",EDATE(data_inicial,Tabela2[[#This Row],[Mês]]))</f>
        <v/>
      </c>
    </row>
    <row r="215" spans="1:6" x14ac:dyDescent="0.3">
      <c r="A215" s="2" t="str">
        <f>IF(ROW(A215)&lt;=periodo+1, ROW(A215)-1, "")</f>
        <v/>
      </c>
      <c r="B215" s="17" t="str">
        <f t="shared" si="12"/>
        <v/>
      </c>
      <c r="C215" s="17" t="str">
        <f t="shared" si="15"/>
        <v/>
      </c>
      <c r="D215" s="17" t="str">
        <f t="shared" si="13"/>
        <v/>
      </c>
      <c r="E215" s="17" t="str">
        <f t="shared" si="14"/>
        <v/>
      </c>
      <c r="F215" s="18" t="str">
        <f>IF($A215="","",EDATE(data_inicial,Tabela2[[#This Row],[Mês]]))</f>
        <v/>
      </c>
    </row>
    <row r="216" spans="1:6" x14ac:dyDescent="0.3">
      <c r="A216" s="2" t="str">
        <f>IF(ROW(A216)&lt;=periodo+1, ROW(A216)-1, "")</f>
        <v/>
      </c>
      <c r="B216" s="17" t="str">
        <f t="shared" si="12"/>
        <v/>
      </c>
      <c r="C216" s="17" t="str">
        <f t="shared" si="15"/>
        <v/>
      </c>
      <c r="D216" s="17" t="str">
        <f t="shared" si="13"/>
        <v/>
      </c>
      <c r="E216" s="17" t="str">
        <f t="shared" si="14"/>
        <v/>
      </c>
      <c r="F216" s="18" t="str">
        <f>IF($A216="","",EDATE(data_inicial,Tabela2[[#This Row],[Mês]]))</f>
        <v/>
      </c>
    </row>
    <row r="217" spans="1:6" x14ac:dyDescent="0.3">
      <c r="A217" s="2" t="str">
        <f>IF(ROW(A217)&lt;=periodo+1, ROW(A217)-1, "")</f>
        <v/>
      </c>
      <c r="B217" s="17" t="str">
        <f t="shared" si="12"/>
        <v/>
      </c>
      <c r="C217" s="17" t="str">
        <f t="shared" si="15"/>
        <v/>
      </c>
      <c r="D217" s="17" t="str">
        <f t="shared" si="13"/>
        <v/>
      </c>
      <c r="E217" s="17" t="str">
        <f t="shared" si="14"/>
        <v/>
      </c>
      <c r="F217" s="18" t="str">
        <f>IF($A217="","",EDATE(data_inicial,Tabela2[[#This Row],[Mês]]))</f>
        <v/>
      </c>
    </row>
    <row r="218" spans="1:6" x14ac:dyDescent="0.3">
      <c r="A218" s="2" t="str">
        <f>IF(ROW(A218)&lt;=periodo+1, ROW(A218)-1, "")</f>
        <v/>
      </c>
      <c r="B218" s="17" t="str">
        <f t="shared" si="12"/>
        <v/>
      </c>
      <c r="C218" s="17" t="str">
        <f t="shared" si="15"/>
        <v/>
      </c>
      <c r="D218" s="17" t="str">
        <f t="shared" si="13"/>
        <v/>
      </c>
      <c r="E218" s="17" t="str">
        <f t="shared" si="14"/>
        <v/>
      </c>
      <c r="F218" s="18" t="str">
        <f>IF($A218="","",EDATE(data_inicial,Tabela2[[#This Row],[Mês]]))</f>
        <v/>
      </c>
    </row>
    <row r="219" spans="1:6" x14ac:dyDescent="0.3">
      <c r="A219" s="2" t="str">
        <f>IF(ROW(A219)&lt;=periodo+1, ROW(A219)-1, "")</f>
        <v/>
      </c>
      <c r="B219" s="17" t="str">
        <f t="shared" si="12"/>
        <v/>
      </c>
      <c r="C219" s="17" t="str">
        <f t="shared" si="15"/>
        <v/>
      </c>
      <c r="D219" s="17" t="str">
        <f t="shared" si="13"/>
        <v/>
      </c>
      <c r="E219" s="17" t="str">
        <f t="shared" si="14"/>
        <v/>
      </c>
      <c r="F219" s="18" t="str">
        <f>IF($A219="","",EDATE(data_inicial,Tabela2[[#This Row],[Mês]]))</f>
        <v/>
      </c>
    </row>
    <row r="220" spans="1:6" x14ac:dyDescent="0.3">
      <c r="A220" s="2" t="str">
        <f>IF(ROW(A220)&lt;=periodo+1, ROW(A220)-1, "")</f>
        <v/>
      </c>
      <c r="B220" s="17" t="str">
        <f t="shared" si="12"/>
        <v/>
      </c>
      <c r="C220" s="17" t="str">
        <f t="shared" si="15"/>
        <v/>
      </c>
      <c r="D220" s="17" t="str">
        <f t="shared" si="13"/>
        <v/>
      </c>
      <c r="E220" s="17" t="str">
        <f t="shared" si="14"/>
        <v/>
      </c>
      <c r="F220" s="18" t="str">
        <f>IF($A220="","",EDATE(data_inicial,Tabela2[[#This Row],[Mês]]))</f>
        <v/>
      </c>
    </row>
    <row r="221" spans="1:6" x14ac:dyDescent="0.3">
      <c r="A221" s="2" t="str">
        <f>IF(ROW(A221)&lt;=periodo+1, ROW(A221)-1, "")</f>
        <v/>
      </c>
      <c r="B221" s="17" t="str">
        <f t="shared" si="12"/>
        <v/>
      </c>
      <c r="C221" s="17" t="str">
        <f t="shared" si="15"/>
        <v/>
      </c>
      <c r="D221" s="17" t="str">
        <f t="shared" si="13"/>
        <v/>
      </c>
      <c r="E221" s="17" t="str">
        <f t="shared" si="14"/>
        <v/>
      </c>
      <c r="F221" s="18" t="str">
        <f>IF($A221="","",EDATE(data_inicial,Tabela2[[#This Row],[Mês]]))</f>
        <v/>
      </c>
    </row>
    <row r="222" spans="1:6" x14ac:dyDescent="0.3">
      <c r="A222" s="2" t="str">
        <f>IF(ROW(A222)&lt;=periodo+1, ROW(A222)-1, "")</f>
        <v/>
      </c>
      <c r="B222" s="17" t="str">
        <f t="shared" si="12"/>
        <v/>
      </c>
      <c r="C222" s="17" t="str">
        <f t="shared" si="15"/>
        <v/>
      </c>
      <c r="D222" s="17" t="str">
        <f t="shared" si="13"/>
        <v/>
      </c>
      <c r="E222" s="17" t="str">
        <f t="shared" si="14"/>
        <v/>
      </c>
      <c r="F222" s="18" t="str">
        <f>IF($A222="","",EDATE(data_inicial,Tabela2[[#This Row],[Mês]]))</f>
        <v/>
      </c>
    </row>
    <row r="223" spans="1:6" x14ac:dyDescent="0.3">
      <c r="A223" s="2" t="str">
        <f>IF(ROW(A223)&lt;=periodo+1, ROW(A223)-1, "")</f>
        <v/>
      </c>
      <c r="B223" s="17" t="str">
        <f t="shared" si="12"/>
        <v/>
      </c>
      <c r="C223" s="17" t="str">
        <f t="shared" si="15"/>
        <v/>
      </c>
      <c r="D223" s="17" t="str">
        <f t="shared" si="13"/>
        <v/>
      </c>
      <c r="E223" s="17" t="str">
        <f t="shared" si="14"/>
        <v/>
      </c>
      <c r="F223" s="18" t="str">
        <f>IF($A223="","",EDATE(data_inicial,Tabela2[[#This Row],[Mês]]))</f>
        <v/>
      </c>
    </row>
    <row r="224" spans="1:6" x14ac:dyDescent="0.3">
      <c r="A224" s="2" t="str">
        <f>IF(ROW(A224)&lt;=periodo+1, ROW(A224)-1, "")</f>
        <v/>
      </c>
      <c r="B224" s="17" t="str">
        <f t="shared" si="12"/>
        <v/>
      </c>
      <c r="C224" s="17" t="str">
        <f t="shared" si="15"/>
        <v/>
      </c>
      <c r="D224" s="17" t="str">
        <f t="shared" si="13"/>
        <v/>
      </c>
      <c r="E224" s="17" t="str">
        <f t="shared" si="14"/>
        <v/>
      </c>
      <c r="F224" s="18" t="str">
        <f>IF($A224="","",EDATE(data_inicial,Tabela2[[#This Row],[Mês]]))</f>
        <v/>
      </c>
    </row>
    <row r="225" spans="1:6" x14ac:dyDescent="0.3">
      <c r="A225" s="2" t="str">
        <f>IF(ROW(A225)&lt;=periodo+1, ROW(A225)-1, "")</f>
        <v/>
      </c>
      <c r="B225" s="17" t="str">
        <f t="shared" si="12"/>
        <v/>
      </c>
      <c r="C225" s="17" t="str">
        <f t="shared" si="15"/>
        <v/>
      </c>
      <c r="D225" s="17" t="str">
        <f t="shared" si="13"/>
        <v/>
      </c>
      <c r="E225" s="17" t="str">
        <f t="shared" si="14"/>
        <v/>
      </c>
      <c r="F225" s="18" t="str">
        <f>IF($A225="","",EDATE(data_inicial,Tabela2[[#This Row],[Mês]]))</f>
        <v/>
      </c>
    </row>
    <row r="226" spans="1:6" x14ac:dyDescent="0.3">
      <c r="A226" s="2" t="str">
        <f>IF(ROW(A226)&lt;=periodo+1, ROW(A226)-1, "")</f>
        <v/>
      </c>
      <c r="B226" s="17" t="str">
        <f t="shared" si="12"/>
        <v/>
      </c>
      <c r="C226" s="17" t="str">
        <f t="shared" si="15"/>
        <v/>
      </c>
      <c r="D226" s="17" t="str">
        <f t="shared" si="13"/>
        <v/>
      </c>
      <c r="E226" s="17" t="str">
        <f t="shared" si="14"/>
        <v/>
      </c>
      <c r="F226" s="18" t="str">
        <f>IF($A226="","",EDATE(data_inicial,Tabela2[[#This Row],[Mês]]))</f>
        <v/>
      </c>
    </row>
    <row r="227" spans="1:6" x14ac:dyDescent="0.3">
      <c r="A227" s="2" t="str">
        <f>IF(ROW(A227)&lt;=periodo+1, ROW(A227)-1, "")</f>
        <v/>
      </c>
      <c r="B227" s="17" t="str">
        <f t="shared" si="12"/>
        <v/>
      </c>
      <c r="C227" s="17" t="str">
        <f t="shared" si="15"/>
        <v/>
      </c>
      <c r="D227" s="17" t="str">
        <f t="shared" si="13"/>
        <v/>
      </c>
      <c r="E227" s="17" t="str">
        <f t="shared" si="14"/>
        <v/>
      </c>
      <c r="F227" s="18" t="str">
        <f>IF($A227="","",EDATE(data_inicial,Tabela2[[#This Row],[Mês]]))</f>
        <v/>
      </c>
    </row>
    <row r="228" spans="1:6" x14ac:dyDescent="0.3">
      <c r="A228" s="2" t="str">
        <f>IF(ROW(A228)&lt;=periodo+1, ROW(A228)-1, "")</f>
        <v/>
      </c>
      <c r="B228" s="17" t="str">
        <f t="shared" si="12"/>
        <v/>
      </c>
      <c r="C228" s="17" t="str">
        <f t="shared" si="15"/>
        <v/>
      </c>
      <c r="D228" s="17" t="str">
        <f t="shared" si="13"/>
        <v/>
      </c>
      <c r="E228" s="17" t="str">
        <f t="shared" si="14"/>
        <v/>
      </c>
      <c r="F228" s="18" t="str">
        <f>IF($A228="","",EDATE(data_inicial,Tabela2[[#This Row],[Mês]]))</f>
        <v/>
      </c>
    </row>
    <row r="229" spans="1:6" x14ac:dyDescent="0.3">
      <c r="A229" s="2" t="str">
        <f>IF(ROW(A229)&lt;=periodo+1, ROW(A229)-1, "")</f>
        <v/>
      </c>
      <c r="B229" s="17" t="str">
        <f t="shared" si="12"/>
        <v/>
      </c>
      <c r="C229" s="17" t="str">
        <f t="shared" si="15"/>
        <v/>
      </c>
      <c r="D229" s="17" t="str">
        <f t="shared" si="13"/>
        <v/>
      </c>
      <c r="E229" s="17" t="str">
        <f t="shared" si="14"/>
        <v/>
      </c>
      <c r="F229" s="18" t="str">
        <f>IF($A229="","",EDATE(data_inicial,Tabela2[[#This Row],[Mês]]))</f>
        <v/>
      </c>
    </row>
    <row r="230" spans="1:6" x14ac:dyDescent="0.3">
      <c r="A230" s="2" t="str">
        <f>IF(ROW(A230)&lt;=periodo+1, ROW(A230)-1, "")</f>
        <v/>
      </c>
      <c r="B230" s="17" t="str">
        <f t="shared" si="12"/>
        <v/>
      </c>
      <c r="C230" s="17" t="str">
        <f t="shared" si="15"/>
        <v/>
      </c>
      <c r="D230" s="17" t="str">
        <f t="shared" si="13"/>
        <v/>
      </c>
      <c r="E230" s="17" t="str">
        <f t="shared" si="14"/>
        <v/>
      </c>
      <c r="F230" s="18" t="str">
        <f>IF($A230="","",EDATE(data_inicial,Tabela2[[#This Row],[Mês]]))</f>
        <v/>
      </c>
    </row>
    <row r="231" spans="1:6" x14ac:dyDescent="0.3">
      <c r="A231" s="2" t="str">
        <f>IF(ROW(A231)&lt;=periodo+1, ROW(A231)-1, "")</f>
        <v/>
      </c>
      <c r="B231" s="17" t="str">
        <f t="shared" si="12"/>
        <v/>
      </c>
      <c r="C231" s="17" t="str">
        <f t="shared" si="15"/>
        <v/>
      </c>
      <c r="D231" s="17" t="str">
        <f t="shared" si="13"/>
        <v/>
      </c>
      <c r="E231" s="17" t="str">
        <f t="shared" si="14"/>
        <v/>
      </c>
      <c r="F231" s="18" t="str">
        <f>IF($A231="","",EDATE(data_inicial,Tabela2[[#This Row],[Mês]]))</f>
        <v/>
      </c>
    </row>
    <row r="232" spans="1:6" x14ac:dyDescent="0.3">
      <c r="A232" s="2" t="str">
        <f>IF(ROW(A232)&lt;=periodo+1, ROW(A232)-1, "")</f>
        <v/>
      </c>
      <c r="B232" s="17" t="str">
        <f t="shared" si="12"/>
        <v/>
      </c>
      <c r="C232" s="17" t="str">
        <f t="shared" si="15"/>
        <v/>
      </c>
      <c r="D232" s="17" t="str">
        <f t="shared" si="13"/>
        <v/>
      </c>
      <c r="E232" s="17" t="str">
        <f t="shared" si="14"/>
        <v/>
      </c>
      <c r="F232" s="18" t="str">
        <f>IF($A232="","",EDATE(data_inicial,Tabela2[[#This Row],[Mês]]))</f>
        <v/>
      </c>
    </row>
    <row r="233" spans="1:6" x14ac:dyDescent="0.3">
      <c r="A233" s="2" t="str">
        <f>IF(ROW(A233)&lt;=periodo+1, ROW(A233)-1, "")</f>
        <v/>
      </c>
      <c r="B233" s="17" t="str">
        <f t="shared" si="12"/>
        <v/>
      </c>
      <c r="C233" s="17" t="str">
        <f t="shared" si="15"/>
        <v/>
      </c>
      <c r="D233" s="17" t="str">
        <f t="shared" si="13"/>
        <v/>
      </c>
      <c r="E233" s="17" t="str">
        <f t="shared" si="14"/>
        <v/>
      </c>
      <c r="F233" s="18" t="str">
        <f>IF($A233="","",EDATE(data_inicial,Tabela2[[#This Row],[Mês]]))</f>
        <v/>
      </c>
    </row>
    <row r="234" spans="1:6" x14ac:dyDescent="0.3">
      <c r="A234" s="2" t="str">
        <f>IF(ROW(A234)&lt;=periodo+1, ROW(A234)-1, "")</f>
        <v/>
      </c>
      <c r="B234" s="17" t="str">
        <f t="shared" si="12"/>
        <v/>
      </c>
      <c r="C234" s="17" t="str">
        <f t="shared" si="15"/>
        <v/>
      </c>
      <c r="D234" s="17" t="str">
        <f t="shared" si="13"/>
        <v/>
      </c>
      <c r="E234" s="17" t="str">
        <f t="shared" si="14"/>
        <v/>
      </c>
      <c r="F234" s="18" t="str">
        <f>IF($A234="","",EDATE(data_inicial,Tabela2[[#This Row],[Mês]]))</f>
        <v/>
      </c>
    </row>
    <row r="235" spans="1:6" x14ac:dyDescent="0.3">
      <c r="A235" s="2" t="str">
        <f>IF(ROW(A235)&lt;=periodo+1, ROW(A235)-1, "")</f>
        <v/>
      </c>
      <c r="B235" s="17" t="str">
        <f t="shared" si="12"/>
        <v/>
      </c>
      <c r="C235" s="17" t="str">
        <f t="shared" si="15"/>
        <v/>
      </c>
      <c r="D235" s="17" t="str">
        <f t="shared" si="13"/>
        <v/>
      </c>
      <c r="E235" s="17" t="str">
        <f t="shared" si="14"/>
        <v/>
      </c>
      <c r="F235" s="18" t="str">
        <f>IF($A235="","",EDATE(data_inicial,Tabela2[[#This Row],[Mês]]))</f>
        <v/>
      </c>
    </row>
    <row r="236" spans="1:6" x14ac:dyDescent="0.3">
      <c r="A236" s="2" t="str">
        <f>IF(ROW(A236)&lt;=periodo+1, ROW(A236)-1, "")</f>
        <v/>
      </c>
      <c r="B236" s="17" t="str">
        <f t="shared" si="12"/>
        <v/>
      </c>
      <c r="C236" s="17" t="str">
        <f t="shared" si="15"/>
        <v/>
      </c>
      <c r="D236" s="17" t="str">
        <f t="shared" si="13"/>
        <v/>
      </c>
      <c r="E236" s="17" t="str">
        <f t="shared" si="14"/>
        <v/>
      </c>
      <c r="F236" s="18" t="str">
        <f>IF($A236="","",EDATE(data_inicial,Tabela2[[#This Row],[Mês]]))</f>
        <v/>
      </c>
    </row>
    <row r="237" spans="1:6" x14ac:dyDescent="0.3">
      <c r="A237" s="2" t="str">
        <f>IF(ROW(A237)&lt;=periodo+1, ROW(A237)-1, "")</f>
        <v/>
      </c>
      <c r="B237" s="17" t="str">
        <f t="shared" si="12"/>
        <v/>
      </c>
      <c r="C237" s="17" t="str">
        <f t="shared" si="15"/>
        <v/>
      </c>
      <c r="D237" s="17" t="str">
        <f t="shared" si="13"/>
        <v/>
      </c>
      <c r="E237" s="17" t="str">
        <f t="shared" si="14"/>
        <v/>
      </c>
      <c r="F237" s="18" t="str">
        <f>IF($A237="","",EDATE(data_inicial,Tabela2[[#This Row],[Mês]]))</f>
        <v/>
      </c>
    </row>
    <row r="238" spans="1:6" x14ac:dyDescent="0.3">
      <c r="A238" s="2" t="str">
        <f>IF(ROW(A238)&lt;=periodo+1, ROW(A238)-1, "")</f>
        <v/>
      </c>
      <c r="B238" s="17" t="str">
        <f t="shared" si="12"/>
        <v/>
      </c>
      <c r="C238" s="17" t="str">
        <f t="shared" si="15"/>
        <v/>
      </c>
      <c r="D238" s="17" t="str">
        <f t="shared" si="13"/>
        <v/>
      </c>
      <c r="E238" s="17" t="str">
        <f t="shared" si="14"/>
        <v/>
      </c>
      <c r="F238" s="18" t="str">
        <f>IF($A238="","",EDATE(data_inicial,Tabela2[[#This Row],[Mês]]))</f>
        <v/>
      </c>
    </row>
    <row r="239" spans="1:6" x14ac:dyDescent="0.3">
      <c r="A239" s="2" t="str">
        <f>IF(ROW(A239)&lt;=periodo+1, ROW(A239)-1, "")</f>
        <v/>
      </c>
      <c r="B239" s="17" t="str">
        <f t="shared" si="12"/>
        <v/>
      </c>
      <c r="C239" s="17" t="str">
        <f t="shared" si="15"/>
        <v/>
      </c>
      <c r="D239" s="17" t="str">
        <f t="shared" si="13"/>
        <v/>
      </c>
      <c r="E239" s="17" t="str">
        <f t="shared" si="14"/>
        <v/>
      </c>
      <c r="F239" s="18" t="str">
        <f>IF($A239="","",EDATE(data_inicial,Tabela2[[#This Row],[Mês]]))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1C122-31F9-435D-B679-6335845FCDEE}">
  <dimension ref="A1:C12"/>
  <sheetViews>
    <sheetView showGridLines="0" workbookViewId="0">
      <selection activeCell="C11" sqref="C11"/>
    </sheetView>
  </sheetViews>
  <sheetFormatPr defaultRowHeight="21" customHeight="1" x14ac:dyDescent="0.3"/>
  <cols>
    <col min="1" max="1" width="33" customWidth="1"/>
    <col min="2" max="2" width="30.109375" customWidth="1"/>
    <col min="3" max="3" width="36.5546875" customWidth="1"/>
  </cols>
  <sheetData>
    <row r="1" spans="1:3" ht="21" customHeight="1" thickBot="1" x14ac:dyDescent="0.35"/>
    <row r="2" spans="1:3" ht="33.75" customHeight="1" thickTop="1" thickBot="1" x14ac:dyDescent="0.35">
      <c r="A2" s="40" t="s">
        <v>10</v>
      </c>
      <c r="B2" s="40"/>
      <c r="C2" s="40"/>
    </row>
    <row r="3" spans="1:3" ht="21" customHeight="1" thickBot="1" x14ac:dyDescent="0.35">
      <c r="A3" s="4" t="s">
        <v>11</v>
      </c>
      <c r="B3" s="5" t="s">
        <v>9</v>
      </c>
      <c r="C3" s="5" t="s">
        <v>12</v>
      </c>
    </row>
    <row r="4" spans="1:3" ht="21" customHeight="1" x14ac:dyDescent="0.3">
      <c r="A4" s="6" t="s">
        <v>24</v>
      </c>
      <c r="B4" s="7" t="s">
        <v>25</v>
      </c>
      <c r="C4" s="8">
        <v>1.0999999999999999E-2</v>
      </c>
    </row>
    <row r="5" spans="1:3" ht="21" customHeight="1" x14ac:dyDescent="0.3">
      <c r="A5" s="9" t="s">
        <v>13</v>
      </c>
      <c r="B5" s="9" t="s">
        <v>14</v>
      </c>
      <c r="C5" s="10">
        <v>7.4999999999999997E-3</v>
      </c>
    </row>
    <row r="6" spans="1:3" ht="21" customHeight="1" x14ac:dyDescent="0.3">
      <c r="A6" s="9" t="s">
        <v>15</v>
      </c>
      <c r="B6" s="9" t="s">
        <v>16</v>
      </c>
      <c r="C6" s="10">
        <v>1.0500000000000001E-2</v>
      </c>
    </row>
    <row r="7" spans="1:3" ht="21" customHeight="1" x14ac:dyDescent="0.3">
      <c r="A7" s="11" t="s">
        <v>17</v>
      </c>
      <c r="B7" s="9" t="s">
        <v>18</v>
      </c>
      <c r="C7" s="8">
        <v>6.4999999999999997E-3</v>
      </c>
    </row>
    <row r="8" spans="1:3" ht="21" customHeight="1" x14ac:dyDescent="0.3">
      <c r="A8" s="11" t="s">
        <v>19</v>
      </c>
      <c r="B8" s="9" t="s">
        <v>20</v>
      </c>
      <c r="C8" s="10">
        <v>8.0000000000000002E-3</v>
      </c>
    </row>
    <row r="9" spans="1:3" ht="21" customHeight="1" x14ac:dyDescent="0.3">
      <c r="A9" s="11" t="s">
        <v>21</v>
      </c>
      <c r="B9" s="9" t="s">
        <v>22</v>
      </c>
      <c r="C9" s="10">
        <v>7.0000000000000001E-3</v>
      </c>
    </row>
    <row r="10" spans="1:3" ht="21" customHeight="1" x14ac:dyDescent="0.3">
      <c r="A10" s="11" t="s">
        <v>26</v>
      </c>
      <c r="B10" s="4" t="s">
        <v>27</v>
      </c>
      <c r="C10" s="12">
        <v>7.1999999999999998E-3</v>
      </c>
    </row>
    <row r="11" spans="1:3" ht="21" customHeight="1" thickBot="1" x14ac:dyDescent="0.35">
      <c r="A11" s="13" t="s">
        <v>23</v>
      </c>
      <c r="B11" s="13" t="s">
        <v>16</v>
      </c>
      <c r="C11" s="14">
        <v>1.15E-2</v>
      </c>
    </row>
    <row r="12" spans="1:3" ht="21" customHeight="1" thickTop="1" x14ac:dyDescent="0.3">
      <c r="A12" s="3"/>
      <c r="B12" s="3"/>
      <c r="C12" s="3"/>
    </row>
  </sheetData>
  <mergeCells count="1">
    <mergeCell ref="A2:C2"/>
  </mergeCells>
  <dataValidations count="1">
    <dataValidation type="list" allowBlank="1" showInputMessage="1" showErrorMessage="1" sqref="B4:B11" xr:uid="{C01A0CF6-75B4-42D2-BFA7-24DCDDF7F757}">
      <formula1>"Tijolo,Papel,Híbrido,Desenvolvimento,Fundos,Agências Bancárias,Hospitalidade,Logístico/Industrial"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Controle de investimento</vt:lpstr>
      <vt:lpstr>Tabela de investimento</vt:lpstr>
      <vt:lpstr>Fundos Imobiliarios</vt:lpstr>
      <vt:lpstr>aporte</vt:lpstr>
      <vt:lpstr>data_final</vt:lpstr>
      <vt:lpstr>data_inicial</vt:lpstr>
      <vt:lpstr>patrimonio_acumulado</vt:lpstr>
      <vt:lpstr>periodo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Santana Pereira</dc:creator>
  <cp:lastModifiedBy>Rodrigo Santana</cp:lastModifiedBy>
  <dcterms:created xsi:type="dcterms:W3CDTF">2026-01-23T12:51:55Z</dcterms:created>
  <dcterms:modified xsi:type="dcterms:W3CDTF">2026-02-03T13:48:55Z</dcterms:modified>
</cp:coreProperties>
</file>